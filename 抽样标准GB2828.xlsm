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\23_2828\"/>
    </mc:Choice>
  </mc:AlternateContent>
  <xr:revisionPtr revIDLastSave="0" documentId="13_ncr:1_{FA1A8BBE-8A3B-41CE-8D52-A1A7308F48EB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Sheet1" sheetId="1" r:id="rId1"/>
    <sheet name="抽样计划标准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 a="1"/>
  <c r="B6" i="2" a="1"/>
  <c r="B4" i="2" a="1"/>
  <c r="B5" i="2" a="1"/>
  <c r="B5" i="2" l="1"/>
  <c r="B4" i="2"/>
  <c r="B6" i="2"/>
  <c r="B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<sst xmlns="http://schemas.openxmlformats.org/spreadsheetml/2006/main" count="806" uniqueCount="101">
  <si>
    <r>
      <rPr>
        <b/>
        <sz val="24"/>
        <rFont val="Times New Roman"/>
        <family val="1"/>
      </rPr>
      <t>ANSI/ASQC   Z 1.4/MIL-STD-105E</t>
    </r>
    <r>
      <rPr>
        <b/>
        <sz val="24"/>
        <rFont val="宋体"/>
        <family val="3"/>
        <charset val="134"/>
      </rPr>
      <t>正常检验单次抽样（主轴表）</t>
    </r>
  </si>
  <si>
    <r>
      <rPr>
        <b/>
        <sz val="14"/>
        <rFont val="Times New Roman"/>
        <family val="1"/>
      </rPr>
      <t>LOT</t>
    </r>
    <r>
      <rPr>
        <b/>
        <sz val="14"/>
        <rFont val="宋体"/>
        <family val="3"/>
        <charset val="134"/>
      </rPr>
      <t>的</t>
    </r>
    <r>
      <rPr>
        <b/>
        <sz val="14"/>
        <rFont val="Times New Roman"/>
        <family val="1"/>
      </rPr>
      <t xml:space="preserve">    </t>
    </r>
    <r>
      <rPr>
        <b/>
        <sz val="14"/>
        <rFont val="宋体"/>
        <family val="3"/>
        <charset val="134"/>
      </rPr>
      <t>大小</t>
    </r>
  </si>
  <si>
    <r>
      <rPr>
        <b/>
        <sz val="9"/>
        <rFont val="宋体"/>
        <family val="3"/>
        <charset val="134"/>
      </rPr>
      <t>特别</t>
    </r>
    <r>
      <rPr>
        <b/>
        <sz val="9"/>
        <rFont val="Times New Roman"/>
        <family val="1"/>
      </rPr>
      <t xml:space="preserve">         </t>
    </r>
    <r>
      <rPr>
        <b/>
        <sz val="9"/>
        <rFont val="宋体"/>
        <family val="3"/>
        <charset val="134"/>
      </rPr>
      <t>检查</t>
    </r>
  </si>
  <si>
    <r>
      <rPr>
        <b/>
        <sz val="9"/>
        <rFont val="宋体"/>
        <family val="3"/>
        <charset val="134"/>
      </rPr>
      <t>一般</t>
    </r>
    <r>
      <rPr>
        <b/>
        <sz val="9"/>
        <rFont val="Times New Roman"/>
        <family val="1"/>
      </rPr>
      <t xml:space="preserve">         </t>
    </r>
    <r>
      <rPr>
        <b/>
        <sz val="9"/>
        <rFont val="宋体"/>
        <family val="3"/>
        <charset val="134"/>
      </rPr>
      <t>检查</t>
    </r>
  </si>
  <si>
    <t>Ⅱ级样本代字</t>
  </si>
  <si>
    <t>样品数</t>
  </si>
  <si>
    <r>
      <rPr>
        <b/>
        <sz val="14"/>
        <rFont val="Times New Roman"/>
        <family val="1"/>
      </rPr>
      <t xml:space="preserve">                        Acceptable   Quality   Level   Normal   Inspection   </t>
    </r>
    <r>
      <rPr>
        <b/>
        <sz val="14"/>
        <rFont val="宋体"/>
        <family val="3"/>
        <charset val="134"/>
      </rPr>
      <t>允收水准</t>
    </r>
    <r>
      <rPr>
        <b/>
        <sz val="14"/>
        <rFont val="Times New Roman"/>
        <family val="1"/>
      </rPr>
      <t xml:space="preserve">(AQL)  </t>
    </r>
  </si>
  <si>
    <t>S-1</t>
  </si>
  <si>
    <t>S-2</t>
  </si>
  <si>
    <t>S-3</t>
  </si>
  <si>
    <t>Ⅰ</t>
  </si>
  <si>
    <t>Ⅱ</t>
  </si>
  <si>
    <t>Ⅲ</t>
  </si>
  <si>
    <t>0.015</t>
  </si>
  <si>
    <t>0.025</t>
  </si>
  <si>
    <t>AC</t>
  </si>
  <si>
    <t>RE</t>
  </si>
  <si>
    <r>
      <rPr>
        <sz val="10"/>
        <rFont val="Times New Roman"/>
        <family val="1"/>
      </rPr>
      <t>2</t>
    </r>
    <r>
      <rPr>
        <sz val="10"/>
        <rFont val="宋体"/>
        <family val="3"/>
        <charset val="134"/>
      </rPr>
      <t>～</t>
    </r>
    <r>
      <rPr>
        <sz val="10"/>
        <rFont val="Times New Roman"/>
        <family val="1"/>
      </rPr>
      <t>8</t>
    </r>
  </si>
  <si>
    <t>A</t>
  </si>
  <si>
    <t>B</t>
  </si>
  <si>
    <t xml:space="preserve"> </t>
  </si>
  <si>
    <r>
      <rPr>
        <sz val="9"/>
        <rFont val="Times New Roman"/>
        <family val="1"/>
      </rPr>
      <t>9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15</t>
    </r>
  </si>
  <si>
    <t>C</t>
  </si>
  <si>
    <r>
      <rPr>
        <sz val="9"/>
        <rFont val="Times New Roman"/>
        <family val="1"/>
      </rPr>
      <t>16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25</t>
    </r>
  </si>
  <si>
    <t>D</t>
  </si>
  <si>
    <r>
      <rPr>
        <sz val="9"/>
        <rFont val="Times New Roman"/>
        <family val="1"/>
      </rPr>
      <t>26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50</t>
    </r>
  </si>
  <si>
    <t>E</t>
  </si>
  <si>
    <r>
      <rPr>
        <sz val="9"/>
        <rFont val="Times New Roman"/>
        <family val="1"/>
      </rPr>
      <t>51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90</t>
    </r>
  </si>
  <si>
    <t>F</t>
  </si>
  <si>
    <r>
      <rPr>
        <sz val="9"/>
        <rFont val="Times New Roman"/>
        <family val="1"/>
      </rPr>
      <t>91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150</t>
    </r>
  </si>
  <si>
    <t>G</t>
  </si>
  <si>
    <r>
      <rPr>
        <sz val="9"/>
        <rFont val="Times New Roman"/>
        <family val="1"/>
      </rPr>
      <t>151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280</t>
    </r>
  </si>
  <si>
    <t>H</t>
  </si>
  <si>
    <r>
      <rPr>
        <sz val="9"/>
        <rFont val="Times New Roman"/>
        <family val="1"/>
      </rPr>
      <t>281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500</t>
    </r>
  </si>
  <si>
    <t>J</t>
  </si>
  <si>
    <r>
      <rPr>
        <sz val="9"/>
        <rFont val="Times New Roman"/>
        <family val="1"/>
      </rPr>
      <t>501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1200</t>
    </r>
  </si>
  <si>
    <t>K</t>
  </si>
  <si>
    <r>
      <rPr>
        <sz val="9"/>
        <rFont val="Times New Roman"/>
        <family val="1"/>
      </rPr>
      <t>1201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3200</t>
    </r>
  </si>
  <si>
    <t>L</t>
  </si>
  <si>
    <r>
      <rPr>
        <sz val="9"/>
        <rFont val="Times New Roman"/>
        <family val="1"/>
      </rPr>
      <t>3201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10000</t>
    </r>
  </si>
  <si>
    <t>M</t>
  </si>
  <si>
    <r>
      <rPr>
        <sz val="9"/>
        <rFont val="Times New Roman"/>
        <family val="1"/>
      </rPr>
      <t>10001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35000</t>
    </r>
  </si>
  <si>
    <t>N</t>
  </si>
  <si>
    <r>
      <rPr>
        <sz val="9"/>
        <rFont val="Times New Roman"/>
        <family val="1"/>
      </rPr>
      <t>35001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150000</t>
    </r>
  </si>
  <si>
    <t>P</t>
  </si>
  <si>
    <r>
      <rPr>
        <sz val="9"/>
        <rFont val="Times New Roman"/>
        <family val="1"/>
      </rPr>
      <t>150001</t>
    </r>
    <r>
      <rPr>
        <sz val="9"/>
        <rFont val="宋体"/>
        <family val="3"/>
        <charset val="134"/>
      </rPr>
      <t>～</t>
    </r>
    <r>
      <rPr>
        <sz val="9"/>
        <rFont val="Times New Roman"/>
        <family val="1"/>
      </rPr>
      <t>500000</t>
    </r>
  </si>
  <si>
    <t>Q</t>
  </si>
  <si>
    <r>
      <rPr>
        <sz val="9"/>
        <rFont val="Times New Roman"/>
        <family val="1"/>
      </rPr>
      <t>500001</t>
    </r>
    <r>
      <rPr>
        <sz val="9"/>
        <rFont val="宋体"/>
        <family val="3"/>
        <charset val="134"/>
      </rPr>
      <t>以上</t>
    </r>
  </si>
  <si>
    <t>R</t>
  </si>
  <si>
    <r>
      <rPr>
        <sz val="9"/>
        <rFont val="Times New Roman"/>
        <family val="1"/>
      </rPr>
      <t xml:space="preserve">      </t>
    </r>
    <r>
      <rPr>
        <sz val="9"/>
        <rFont val="宋体"/>
        <family val="3"/>
        <charset val="134"/>
      </rPr>
      <t>：使用箭头下的第一抽样方法，如抽样数大于批量时实行全检</t>
    </r>
    <r>
      <rPr>
        <sz val="9"/>
        <rFont val="Times New Roman"/>
        <family val="1"/>
      </rPr>
      <t xml:space="preserve"> </t>
    </r>
  </si>
  <si>
    <r>
      <rPr>
        <sz val="9"/>
        <rFont val="宋体"/>
        <family val="3"/>
        <charset val="134"/>
      </rPr>
      <t>本公司允收水准：致命缺陷为</t>
    </r>
    <r>
      <rPr>
        <sz val="9"/>
        <rFont val="Times New Roman"/>
        <family val="1"/>
      </rPr>
      <t>"0"</t>
    </r>
    <r>
      <rPr>
        <sz val="9"/>
        <rFont val="宋体"/>
        <family val="3"/>
        <charset val="134"/>
      </rPr>
      <t>，严重缺陷为：</t>
    </r>
    <r>
      <rPr>
        <sz val="9"/>
        <rFont val="Times New Roman"/>
        <family val="1"/>
      </rPr>
      <t>0.4</t>
    </r>
    <r>
      <rPr>
        <sz val="9"/>
        <rFont val="宋体"/>
        <family val="3"/>
        <charset val="134"/>
      </rPr>
      <t>；</t>
    </r>
    <r>
      <rPr>
        <sz val="9"/>
        <rFont val="Times New Roman"/>
        <family val="1"/>
      </rPr>
      <t xml:space="preserve"> </t>
    </r>
    <r>
      <rPr>
        <sz val="9"/>
        <rFont val="宋体"/>
        <family val="3"/>
        <charset val="134"/>
      </rPr>
      <t>轻微缺陷为：</t>
    </r>
    <r>
      <rPr>
        <sz val="9"/>
        <rFont val="Times New Roman"/>
        <family val="1"/>
      </rPr>
      <t>0.65</t>
    </r>
    <r>
      <rPr>
        <sz val="9"/>
        <rFont val="宋体"/>
        <family val="3"/>
        <charset val="134"/>
      </rPr>
      <t>；</t>
    </r>
    <r>
      <rPr>
        <sz val="9"/>
        <rFont val="Times New Roman"/>
        <family val="1"/>
      </rPr>
      <t xml:space="preserve">        </t>
    </r>
  </si>
  <si>
    <r>
      <rPr>
        <sz val="9"/>
        <rFont val="宋体"/>
        <family val="3"/>
        <charset val="134"/>
      </rPr>
      <t>制</t>
    </r>
    <r>
      <rPr>
        <sz val="9"/>
        <rFont val="Times New Roman"/>
        <family val="1"/>
      </rPr>
      <t xml:space="preserve">    </t>
    </r>
    <r>
      <rPr>
        <sz val="9"/>
        <rFont val="宋体"/>
        <family val="3"/>
        <charset val="134"/>
      </rPr>
      <t>订</t>
    </r>
  </si>
  <si>
    <r>
      <rPr>
        <sz val="9"/>
        <rFont val="宋体"/>
        <family val="3"/>
        <charset val="134"/>
      </rPr>
      <t>审</t>
    </r>
    <r>
      <rPr>
        <sz val="9"/>
        <rFont val="Times New Roman"/>
        <family val="1"/>
      </rPr>
      <t xml:space="preserve">    </t>
    </r>
    <r>
      <rPr>
        <sz val="9"/>
        <rFont val="宋体"/>
        <family val="3"/>
        <charset val="134"/>
      </rPr>
      <t>核</t>
    </r>
    <r>
      <rPr>
        <sz val="9"/>
        <rFont val="Times New Roman"/>
        <family val="1"/>
      </rPr>
      <t xml:space="preserve"> </t>
    </r>
  </si>
  <si>
    <r>
      <rPr>
        <sz val="9"/>
        <rFont val="宋体"/>
        <family val="3"/>
        <charset val="134"/>
      </rPr>
      <t>核</t>
    </r>
    <r>
      <rPr>
        <sz val="9"/>
        <rFont val="Times New Roman"/>
        <family val="1"/>
      </rPr>
      <t xml:space="preserve">     </t>
    </r>
    <r>
      <rPr>
        <sz val="9"/>
        <rFont val="宋体"/>
        <family val="3"/>
        <charset val="134"/>
      </rPr>
      <t>准</t>
    </r>
  </si>
  <si>
    <r>
      <rPr>
        <sz val="9"/>
        <rFont val="Times New Roman"/>
        <family val="1"/>
      </rPr>
      <t xml:space="preserve">      </t>
    </r>
    <r>
      <rPr>
        <sz val="9"/>
        <rFont val="宋体"/>
        <family val="3"/>
        <charset val="134"/>
      </rPr>
      <t>：使用箭头上的第一抽样方法。</t>
    </r>
    <r>
      <rPr>
        <sz val="9"/>
        <rFont val="Times New Roman"/>
        <family val="1"/>
      </rPr>
      <t xml:space="preserve">                                                                   Ac</t>
    </r>
    <r>
      <rPr>
        <sz val="9"/>
        <rFont val="宋体"/>
        <family val="3"/>
        <charset val="134"/>
      </rPr>
      <t>：代表合格数量。</t>
    </r>
    <r>
      <rPr>
        <sz val="9"/>
        <rFont val="Times New Roman"/>
        <family val="1"/>
      </rPr>
      <t>Re</t>
    </r>
    <r>
      <rPr>
        <sz val="9"/>
        <rFont val="宋体"/>
        <family val="3"/>
        <charset val="134"/>
      </rPr>
      <t>：代表不合格数量。</t>
    </r>
  </si>
  <si>
    <t xml:space="preserve">                              </t>
  </si>
  <si>
    <r>
      <rPr>
        <b/>
        <sz val="22"/>
        <rFont val="Verdana"/>
        <family val="2"/>
      </rPr>
      <t>GB/T2828.1-2003/ISO2859-1</t>
    </r>
    <r>
      <rPr>
        <b/>
        <sz val="22"/>
        <rFont val="宋体"/>
        <family val="3"/>
        <charset val="134"/>
      </rPr>
      <t>正常检验一次抽样（主表）</t>
    </r>
  </si>
  <si>
    <r>
      <rPr>
        <b/>
        <sz val="14"/>
        <rFont val="宋体"/>
        <family val="3"/>
        <charset val="134"/>
      </rPr>
      <t>批量</t>
    </r>
  </si>
  <si>
    <r>
      <rPr>
        <b/>
        <sz val="9"/>
        <rFont val="宋体"/>
        <family val="3"/>
        <charset val="134"/>
      </rPr>
      <t>特殊检验水平</t>
    </r>
  </si>
  <si>
    <r>
      <rPr>
        <b/>
        <sz val="9"/>
        <rFont val="宋体"/>
        <family val="3"/>
        <charset val="134"/>
      </rPr>
      <t>一般</t>
    </r>
    <r>
      <rPr>
        <b/>
        <sz val="9"/>
        <rFont val="Verdana"/>
        <family val="2"/>
      </rPr>
      <t xml:space="preserve">         </t>
    </r>
    <r>
      <rPr>
        <b/>
        <sz val="9"/>
        <rFont val="宋体"/>
        <family val="3"/>
        <charset val="134"/>
      </rPr>
      <t>检验水平</t>
    </r>
  </si>
  <si>
    <r>
      <rPr>
        <b/>
        <sz val="9"/>
        <rFont val="宋体"/>
        <family val="3"/>
        <charset val="134"/>
      </rPr>
      <t>样本量字码</t>
    </r>
  </si>
  <si>
    <r>
      <rPr>
        <b/>
        <sz val="12"/>
        <rFont val="宋体"/>
        <family val="3"/>
        <charset val="134"/>
      </rPr>
      <t>样本量</t>
    </r>
  </si>
  <si>
    <r>
      <rPr>
        <b/>
        <sz val="14"/>
        <rFont val="Verdana"/>
        <family val="2"/>
      </rPr>
      <t xml:space="preserve">          </t>
    </r>
    <r>
      <rPr>
        <b/>
        <sz val="14"/>
        <rFont val="宋体"/>
        <family val="3"/>
        <charset val="134"/>
      </rPr>
      <t>接受质量限</t>
    </r>
    <r>
      <rPr>
        <b/>
        <sz val="14"/>
        <rFont val="Verdana"/>
        <family val="2"/>
      </rPr>
      <t xml:space="preserve">(AQL)  </t>
    </r>
  </si>
  <si>
    <t>S-4</t>
  </si>
  <si>
    <r>
      <rPr>
        <b/>
        <sz val="9"/>
        <rFont val="宋体"/>
        <family val="3"/>
        <charset val="134"/>
      </rPr>
      <t>Ⅰ</t>
    </r>
  </si>
  <si>
    <t>：使用箭头下面的第一抽样方法，如抽样数等于或超过批量，则执行100%检验</t>
  </si>
  <si>
    <r>
      <rPr>
        <sz val="9"/>
        <rFont val="宋体"/>
        <family val="3"/>
        <charset val="134"/>
      </rPr>
      <t>本公司允收水准：致命缺陷为</t>
    </r>
    <r>
      <rPr>
        <sz val="9"/>
        <rFont val="Verdana"/>
        <family val="2"/>
      </rPr>
      <t>"0"</t>
    </r>
    <r>
      <rPr>
        <sz val="9"/>
        <rFont val="宋体"/>
        <family val="3"/>
        <charset val="134"/>
      </rPr>
      <t>，严重缺陷为：</t>
    </r>
    <r>
      <rPr>
        <sz val="9"/>
        <rFont val="Verdana"/>
        <family val="2"/>
      </rPr>
      <t>0.4</t>
    </r>
    <r>
      <rPr>
        <sz val="9"/>
        <rFont val="宋体"/>
        <family val="3"/>
        <charset val="134"/>
      </rPr>
      <t>；</t>
    </r>
    <r>
      <rPr>
        <sz val="9"/>
        <rFont val="Verdana"/>
        <family val="2"/>
      </rPr>
      <t xml:space="preserve"> </t>
    </r>
    <r>
      <rPr>
        <sz val="9"/>
        <rFont val="宋体"/>
        <family val="3"/>
        <charset val="134"/>
      </rPr>
      <t>轻微缺陷为：</t>
    </r>
    <r>
      <rPr>
        <sz val="9"/>
        <rFont val="Verdana"/>
        <family val="2"/>
      </rPr>
      <t>0.65</t>
    </r>
    <r>
      <rPr>
        <sz val="9"/>
        <rFont val="宋体"/>
        <family val="3"/>
        <charset val="134"/>
      </rPr>
      <t>；</t>
    </r>
  </si>
  <si>
    <r>
      <rPr>
        <sz val="9"/>
        <rFont val="宋体"/>
        <family val="3"/>
        <charset val="134"/>
      </rPr>
      <t>制</t>
    </r>
    <r>
      <rPr>
        <sz val="9"/>
        <rFont val="Verdana"/>
        <family val="2"/>
      </rPr>
      <t xml:space="preserve">    </t>
    </r>
    <r>
      <rPr>
        <sz val="9"/>
        <rFont val="宋体"/>
        <family val="3"/>
        <charset val="134"/>
      </rPr>
      <t>订</t>
    </r>
  </si>
  <si>
    <r>
      <rPr>
        <sz val="9"/>
        <rFont val="宋体"/>
        <family val="3"/>
        <charset val="134"/>
      </rPr>
      <t>审</t>
    </r>
    <r>
      <rPr>
        <sz val="9"/>
        <rFont val="Verdana"/>
        <family val="2"/>
      </rPr>
      <t xml:space="preserve">    </t>
    </r>
    <r>
      <rPr>
        <sz val="9"/>
        <rFont val="宋体"/>
        <family val="3"/>
        <charset val="134"/>
      </rPr>
      <t>核</t>
    </r>
  </si>
  <si>
    <r>
      <rPr>
        <sz val="9"/>
        <rFont val="宋体"/>
        <family val="3"/>
        <charset val="134"/>
      </rPr>
      <t>批</t>
    </r>
    <r>
      <rPr>
        <sz val="9"/>
        <rFont val="Verdana"/>
        <family val="2"/>
      </rPr>
      <t xml:space="preserve">     </t>
    </r>
    <r>
      <rPr>
        <sz val="9"/>
        <rFont val="宋体"/>
        <family val="3"/>
        <charset val="134"/>
      </rPr>
      <t>准</t>
    </r>
  </si>
  <si>
    <t>：使用箭头上面的第一抽样方案。                                                                                    Ac：代表接收数；       Re：代表拒收数。</t>
  </si>
  <si>
    <t>批量</t>
    <phoneticPr fontId="18" type="noConversion"/>
  </si>
  <si>
    <t>检验水平</t>
    <phoneticPr fontId="18" type="noConversion"/>
  </si>
  <si>
    <t>AQL</t>
    <phoneticPr fontId="18" type="noConversion"/>
  </si>
  <si>
    <t>样本量</t>
    <phoneticPr fontId="18" type="noConversion"/>
  </si>
  <si>
    <t>I</t>
  </si>
  <si>
    <t>上</t>
  </si>
  <si>
    <t>箭</t>
    <phoneticPr fontId="18" type="noConversion"/>
  </si>
  <si>
    <t>Ⅱ</t>
    <phoneticPr fontId="18" type="noConversion"/>
  </si>
  <si>
    <t>Ⅲ</t>
    <phoneticPr fontId="18" type="noConversion"/>
  </si>
  <si>
    <t>S-1</t>
    <phoneticPr fontId="18" type="noConversion"/>
  </si>
  <si>
    <t>500001以上</t>
  </si>
  <si>
    <t>下</t>
  </si>
  <si>
    <t>AC</t>
    <phoneticPr fontId="18" type="noConversion"/>
  </si>
  <si>
    <t>RE</t>
    <phoneticPr fontId="18" type="noConversion"/>
  </si>
  <si>
    <t>上</t>
    <phoneticPr fontId="18" type="noConversion"/>
  </si>
  <si>
    <r>
      <t>2</t>
    </r>
    <r>
      <rPr>
        <sz val="11"/>
        <rFont val="Verdana"/>
        <family val="2"/>
      </rPr>
      <t>~</t>
    </r>
    <r>
      <rPr>
        <sz val="10"/>
        <rFont val="Verdana"/>
        <family val="2"/>
      </rPr>
      <t>8</t>
    </r>
  </si>
  <si>
    <r>
      <t>9</t>
    </r>
    <r>
      <rPr>
        <sz val="11"/>
        <rFont val="Verdana"/>
        <family val="2"/>
      </rPr>
      <t>~</t>
    </r>
    <r>
      <rPr>
        <sz val="9"/>
        <rFont val="Verdana"/>
        <family val="2"/>
      </rPr>
      <t>15</t>
    </r>
  </si>
  <si>
    <r>
      <t>16</t>
    </r>
    <r>
      <rPr>
        <sz val="11"/>
        <rFont val="Verdana"/>
        <family val="2"/>
      </rPr>
      <t>~</t>
    </r>
    <r>
      <rPr>
        <sz val="9"/>
        <rFont val="Verdana"/>
        <family val="2"/>
      </rPr>
      <t>25</t>
    </r>
  </si>
  <si>
    <r>
      <t>26</t>
    </r>
    <r>
      <rPr>
        <sz val="11"/>
        <rFont val="Verdana"/>
        <family val="2"/>
      </rPr>
      <t>~</t>
    </r>
    <r>
      <rPr>
        <sz val="9"/>
        <rFont val="Verdana"/>
        <family val="2"/>
      </rPr>
      <t>50</t>
    </r>
  </si>
  <si>
    <r>
      <t>51</t>
    </r>
    <r>
      <rPr>
        <sz val="11"/>
        <rFont val="Verdana"/>
        <family val="2"/>
      </rPr>
      <t>~</t>
    </r>
    <r>
      <rPr>
        <sz val="9"/>
        <rFont val="Verdana"/>
        <family val="2"/>
      </rPr>
      <t>90</t>
    </r>
  </si>
  <si>
    <r>
      <t>91</t>
    </r>
    <r>
      <rPr>
        <sz val="11"/>
        <rFont val="Verdana"/>
        <family val="2"/>
      </rPr>
      <t>~</t>
    </r>
    <r>
      <rPr>
        <sz val="9"/>
        <rFont val="Verdana"/>
        <family val="2"/>
      </rPr>
      <t>150</t>
    </r>
  </si>
  <si>
    <r>
      <t>151</t>
    </r>
    <r>
      <rPr>
        <sz val="11"/>
        <rFont val="Verdana"/>
        <family val="2"/>
      </rPr>
      <t>~</t>
    </r>
    <r>
      <rPr>
        <sz val="9"/>
        <rFont val="Verdana"/>
        <family val="2"/>
      </rPr>
      <t>280</t>
    </r>
  </si>
  <si>
    <r>
      <t>281</t>
    </r>
    <r>
      <rPr>
        <sz val="11"/>
        <rFont val="Verdana"/>
        <family val="2"/>
      </rPr>
      <t>~</t>
    </r>
    <r>
      <rPr>
        <sz val="9"/>
        <rFont val="Verdana"/>
        <family val="2"/>
      </rPr>
      <t>500</t>
    </r>
  </si>
  <si>
    <r>
      <t>501</t>
    </r>
    <r>
      <rPr>
        <sz val="11"/>
        <rFont val="Verdana"/>
        <family val="2"/>
      </rPr>
      <t>~</t>
    </r>
    <r>
      <rPr>
        <sz val="9"/>
        <rFont val="Verdana"/>
        <family val="2"/>
      </rPr>
      <t>1200</t>
    </r>
  </si>
  <si>
    <r>
      <t>1201</t>
    </r>
    <r>
      <rPr>
        <sz val="11"/>
        <rFont val="Verdana"/>
        <family val="2"/>
      </rPr>
      <t>~</t>
    </r>
    <r>
      <rPr>
        <sz val="9"/>
        <rFont val="Verdana"/>
        <family val="2"/>
      </rPr>
      <t>3200</t>
    </r>
  </si>
  <si>
    <r>
      <t>3201</t>
    </r>
    <r>
      <rPr>
        <sz val="11"/>
        <rFont val="Verdana"/>
        <family val="2"/>
      </rPr>
      <t>~</t>
    </r>
    <r>
      <rPr>
        <sz val="9"/>
        <rFont val="Verdana"/>
        <family val="2"/>
      </rPr>
      <t>10000</t>
    </r>
  </si>
  <si>
    <r>
      <t>10001</t>
    </r>
    <r>
      <rPr>
        <sz val="11"/>
        <rFont val="Verdana"/>
        <family val="2"/>
      </rPr>
      <t>~</t>
    </r>
    <r>
      <rPr>
        <sz val="9"/>
        <rFont val="Verdana"/>
        <family val="2"/>
      </rPr>
      <t>35000</t>
    </r>
  </si>
  <si>
    <r>
      <t>35001</t>
    </r>
    <r>
      <rPr>
        <sz val="11"/>
        <rFont val="Verdana"/>
        <family val="2"/>
      </rPr>
      <t>~</t>
    </r>
    <r>
      <rPr>
        <sz val="9"/>
        <rFont val="Verdana"/>
        <family val="2"/>
      </rPr>
      <t>150000</t>
    </r>
  </si>
  <si>
    <r>
      <t>150001</t>
    </r>
    <r>
      <rPr>
        <sz val="11"/>
        <rFont val="Verdana"/>
        <family val="2"/>
      </rPr>
      <t>~</t>
    </r>
    <r>
      <rPr>
        <sz val="9"/>
        <rFont val="Verdana"/>
        <family val="2"/>
      </rPr>
      <t>500000</t>
    </r>
  </si>
  <si>
    <r>
      <rPr>
        <sz val="12"/>
        <rFont val="宋体"/>
        <family val="2"/>
        <charset val="134"/>
      </rPr>
      <t>检验方式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</si>
</sst>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5" x14ac:knownFonts="1">
    <font>
      <sz val="12"/>
      <name val="宋体"/>
      <charset val="134"/>
    </font>
    <font>
      <sz val="12"/>
      <name val="Verdana"/>
      <family val="2"/>
    </font>
    <font>
      <b/>
      <sz val="16"/>
      <name val="Verdana"/>
      <family val="2"/>
    </font>
    <font>
      <b/>
      <sz val="22"/>
      <name val="Verdana"/>
      <family val="2"/>
    </font>
    <font>
      <b/>
      <sz val="14"/>
      <name val="Verdana"/>
      <family val="2"/>
    </font>
    <font>
      <b/>
      <sz val="9"/>
      <name val="Verdana"/>
      <family val="2"/>
    </font>
    <font>
      <b/>
      <sz val="12"/>
      <name val="Verdana"/>
      <family val="2"/>
    </font>
    <font>
      <sz val="9"/>
      <name val="Verdana"/>
      <family val="2"/>
    </font>
    <font>
      <sz val="10"/>
      <name val="Verdana"/>
      <family val="2"/>
    </font>
    <font>
      <b/>
      <sz val="7"/>
      <name val="Verdana"/>
      <family val="2"/>
    </font>
    <font>
      <b/>
      <sz val="24"/>
      <name val="Times New Roman"/>
      <family val="1"/>
    </font>
    <font>
      <b/>
      <sz val="24"/>
      <name val="宋体"/>
      <family val="3"/>
      <charset val="134"/>
    </font>
    <font>
      <b/>
      <sz val="14"/>
      <name val="Times New Roman"/>
      <family val="1"/>
    </font>
    <font>
      <b/>
      <sz val="9"/>
      <name val="宋体"/>
      <family val="3"/>
      <charset val="134"/>
    </font>
    <font>
      <b/>
      <sz val="9"/>
      <name val="Times New Roman"/>
      <family val="1"/>
    </font>
    <font>
      <b/>
      <sz val="12"/>
      <name val="宋体"/>
      <family val="3"/>
      <charset val="134"/>
    </font>
    <font>
      <sz val="9"/>
      <name val="Times New Roman"/>
      <family val="1"/>
    </font>
    <font>
      <sz val="10"/>
      <name val="Times New Roman"/>
      <family val="1"/>
    </font>
    <font>
      <sz val="9"/>
      <name val="宋体"/>
      <family val="3"/>
      <charset val="134"/>
    </font>
    <font>
      <b/>
      <sz val="7"/>
      <name val="Times New Roman"/>
      <family val="1"/>
    </font>
    <font>
      <sz val="8"/>
      <name val="宋体"/>
      <family val="3"/>
      <charset val="134"/>
    </font>
    <font>
      <sz val="9"/>
      <color indexed="9"/>
      <name val="宋体"/>
      <family val="3"/>
      <charset val="134"/>
    </font>
    <font>
      <b/>
      <sz val="22"/>
      <name val="宋体"/>
      <family val="3"/>
      <charset val="134"/>
    </font>
    <font>
      <b/>
      <sz val="14"/>
      <name val="宋体"/>
      <family val="3"/>
      <charset val="134"/>
    </font>
    <font>
      <sz val="11"/>
      <name val="Verdana"/>
      <family val="2"/>
    </font>
    <font>
      <sz val="10"/>
      <name val="宋体"/>
      <family val="3"/>
      <charset val="134"/>
    </font>
    <font>
      <sz val="12"/>
      <name val="宋体"/>
      <family val="2"/>
      <charset val="134"/>
    </font>
    <font>
      <sz val="9"/>
      <name val="宋体"/>
      <family val="2"/>
      <charset val="134"/>
    </font>
    <font>
      <sz val="9"/>
      <color theme="0"/>
      <name val="宋体"/>
      <family val="2"/>
      <charset val="134"/>
    </font>
    <font>
      <sz val="9"/>
      <color theme="0"/>
      <name val="宋体"/>
      <family val="3"/>
      <charset val="134"/>
    </font>
    <font>
      <sz val="9"/>
      <color theme="0"/>
      <name val="Verdana"/>
      <family val="2"/>
    </font>
    <font>
      <sz val="12"/>
      <color theme="0"/>
      <name val="Verdana"/>
      <family val="2"/>
    </font>
    <font>
      <sz val="9"/>
      <color theme="0" tint="-0.249977111117893"/>
      <name val="宋体"/>
      <family val="3"/>
      <charset val="134"/>
    </font>
    <font>
      <b/>
      <sz val="12"/>
      <name val="等线"/>
      <family val="3"/>
      <charset val="134"/>
    </font>
    <font>
      <b/>
      <sz val="14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4" xfId="0" applyFont="1" applyBorder="1"/>
    <xf numFmtId="0" fontId="7" fillId="0" borderId="0" xfId="0" applyFont="1"/>
    <xf numFmtId="0" fontId="9" fillId="0" borderId="2" xfId="0" applyFont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" fillId="0" borderId="1" xfId="0" applyFont="1" applyBorder="1"/>
    <xf numFmtId="0" fontId="7" fillId="0" borderId="1" xfId="0" applyFont="1" applyBorder="1"/>
    <xf numFmtId="0" fontId="1" fillId="0" borderId="29" xfId="0" applyFont="1" applyBorder="1"/>
    <xf numFmtId="0" fontId="7" fillId="0" borderId="26" xfId="0" applyFont="1" applyBorder="1"/>
    <xf numFmtId="0" fontId="16" fillId="0" borderId="10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0" borderId="4" xfId="0" applyBorder="1"/>
    <xf numFmtId="0" fontId="18" fillId="0" borderId="0" xfId="0" applyFont="1"/>
    <xf numFmtId="0" fontId="19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27" xfId="0" applyFont="1" applyBorder="1"/>
    <xf numFmtId="0" fontId="0" fillId="0" borderId="27" xfId="0" applyBorder="1"/>
    <xf numFmtId="0" fontId="21" fillId="0" borderId="2" xfId="0" applyFont="1" applyBorder="1" applyAlignment="1">
      <alignment horizontal="center" vertical="center"/>
    </xf>
    <xf numFmtId="0" fontId="0" fillId="0" borderId="1" xfId="0" applyBorder="1"/>
    <xf numFmtId="0" fontId="16" fillId="0" borderId="1" xfId="0" applyFont="1" applyBorder="1"/>
    <xf numFmtId="0" fontId="18" fillId="0" borderId="1" xfId="0" applyFont="1" applyBorder="1"/>
    <xf numFmtId="0" fontId="18" fillId="0" borderId="28" xfId="0" applyFont="1" applyBorder="1"/>
    <xf numFmtId="0" fontId="0" fillId="0" borderId="29" xfId="0" applyBorder="1"/>
    <xf numFmtId="0" fontId="18" fillId="0" borderId="26" xfId="0" applyFont="1" applyBorder="1"/>
    <xf numFmtId="0" fontId="26" fillId="0" borderId="2" xfId="0" applyFont="1" applyBorder="1"/>
    <xf numFmtId="0" fontId="1" fillId="0" borderId="2" xfId="0" applyFont="1" applyBorder="1"/>
    <xf numFmtId="0" fontId="2" fillId="0" borderId="1" xfId="0" applyFont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3" fillId="0" borderId="30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/>
    </xf>
    <xf numFmtId="176" fontId="13" fillId="0" borderId="2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6" fillId="0" borderId="12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 textRotation="255"/>
    </xf>
    <xf numFmtId="0" fontId="13" fillId="0" borderId="29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 textRotation="255"/>
    </xf>
    <xf numFmtId="0" fontId="15" fillId="0" borderId="21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6" fillId="0" borderId="25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2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0" fillId="0" borderId="1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 textRotation="255"/>
    </xf>
    <xf numFmtId="0" fontId="5" fillId="0" borderId="23" xfId="0" applyFont="1" applyBorder="1" applyAlignment="1">
      <alignment horizontal="center" vertical="center" textRotation="255"/>
    </xf>
    <xf numFmtId="0" fontId="5" fillId="0" borderId="14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" fillId="0" borderId="0" xfId="0" applyFont="1" applyFill="1" applyAlignment="1">
      <alignment horizontal="left"/>
    </xf>
    <xf numFmtId="49" fontId="8" fillId="0" borderId="13" xfId="0" applyNumberFormat="1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30" fillId="0" borderId="13" xfId="0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0" fontId="1" fillId="0" borderId="0" xfId="0" applyFont="1" applyFill="1"/>
    <xf numFmtId="49" fontId="7" fillId="0" borderId="13" xfId="0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/>
    </xf>
    <xf numFmtId="0" fontId="7" fillId="0" borderId="11" xfId="0" applyFont="1" applyFill="1" applyBorder="1" applyAlignment="1">
      <alignment horizontal="left" vertical="center"/>
    </xf>
    <xf numFmtId="0" fontId="29" fillId="0" borderId="24" xfId="0" applyFont="1" applyFill="1" applyBorder="1" applyAlignment="1">
      <alignment horizontal="center" vertical="center"/>
    </xf>
    <xf numFmtId="0" fontId="31" fillId="0" borderId="0" xfId="0" applyFont="1" applyFill="1" applyAlignment="1">
      <alignment horizontal="left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27" fillId="0" borderId="13" xfId="0" applyFont="1" applyFill="1" applyBorder="1" applyAlignment="1">
      <alignment vertical="center"/>
    </xf>
    <xf numFmtId="0" fontId="29" fillId="0" borderId="26" xfId="0" applyFont="1" applyFill="1" applyBorder="1" applyAlignment="1">
      <alignment horizontal="center" vertical="center"/>
    </xf>
    <xf numFmtId="0" fontId="29" fillId="0" borderId="1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" fillId="0" borderId="2" xfId="0" applyFont="1" applyFill="1" applyBorder="1"/>
    <xf numFmtId="0" fontId="33" fillId="6" borderId="2" xfId="0" applyFont="1" applyFill="1" applyBorder="1" applyAlignment="1">
      <alignment horizontal="center"/>
    </xf>
    <xf numFmtId="0" fontId="33" fillId="4" borderId="2" xfId="0" applyFont="1" applyFill="1" applyBorder="1" applyAlignment="1">
      <alignment horizontal="center"/>
    </xf>
    <xf numFmtId="0" fontId="34" fillId="4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161925</xdr:colOff>
      <xdr:row>4</xdr:row>
      <xdr:rowOff>0</xdr:rowOff>
    </xdr:from>
    <xdr:to>
      <xdr:col>22</xdr:col>
      <xdr:colOff>0</xdr:colOff>
      <xdr:row>12</xdr:row>
      <xdr:rowOff>285750</xdr:rowOff>
    </xdr:to>
    <xdr:sp macro="" textlink="">
      <xdr:nvSpPr>
        <xdr:cNvPr id="1029" name="Lin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ChangeShapeType="1"/>
        </xdr:cNvSpPr>
      </xdr:nvSpPr>
      <xdr:spPr>
        <a:xfrm flipH="1">
          <a:off x="4552950" y="1333500"/>
          <a:ext cx="9525" cy="28003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36</xdr:col>
      <xdr:colOff>9525</xdr:colOff>
      <xdr:row>17</xdr:row>
      <xdr:rowOff>0</xdr:rowOff>
    </xdr:from>
    <xdr:to>
      <xdr:col>36</xdr:col>
      <xdr:colOff>9525</xdr:colOff>
      <xdr:row>19</xdr:row>
      <xdr:rowOff>0</xdr:rowOff>
    </xdr:to>
    <xdr:sp macro="" textlink="">
      <xdr:nvSpPr>
        <xdr:cNvPr id="1062" name="Line 38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 noChangeShapeType="1"/>
        </xdr:cNvSpPr>
      </xdr:nvSpPr>
      <xdr:spPr>
        <a:xfrm flipV="1">
          <a:off x="6972300" y="5419725"/>
          <a:ext cx="0" cy="628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38</xdr:col>
      <xdr:colOff>0</xdr:colOff>
      <xdr:row>16</xdr:row>
      <xdr:rowOff>0</xdr:rowOff>
    </xdr:from>
    <xdr:to>
      <xdr:col>38</xdr:col>
      <xdr:colOff>0</xdr:colOff>
      <xdr:row>19</xdr:row>
      <xdr:rowOff>0</xdr:rowOff>
    </xdr:to>
    <xdr:sp macro="" textlink="">
      <xdr:nvSpPr>
        <xdr:cNvPr id="1063" name="Line 39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>
          <a:spLocks noChangeShapeType="1"/>
        </xdr:cNvSpPr>
      </xdr:nvSpPr>
      <xdr:spPr>
        <a:xfrm flipV="1">
          <a:off x="7305675" y="5105400"/>
          <a:ext cx="0" cy="9429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0</xdr:colOff>
      <xdr:row>19</xdr:row>
      <xdr:rowOff>0</xdr:rowOff>
    </xdr:to>
    <xdr:sp macro="" textlink="">
      <xdr:nvSpPr>
        <xdr:cNvPr id="1064" name="Line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>
          <a:spLocks noChangeShapeType="1"/>
        </xdr:cNvSpPr>
      </xdr:nvSpPr>
      <xdr:spPr>
        <a:xfrm flipV="1">
          <a:off x="7648575" y="4791075"/>
          <a:ext cx="0" cy="12573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42</xdr:col>
      <xdr:colOff>0</xdr:colOff>
      <xdr:row>14</xdr:row>
      <xdr:rowOff>19050</xdr:rowOff>
    </xdr:from>
    <xdr:to>
      <xdr:col>42</xdr:col>
      <xdr:colOff>0</xdr:colOff>
      <xdr:row>19</xdr:row>
      <xdr:rowOff>0</xdr:rowOff>
    </xdr:to>
    <xdr:sp macro="" textlink="">
      <xdr:nvSpPr>
        <xdr:cNvPr id="1066" name="Lin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>
          <a:spLocks noChangeShapeType="1"/>
        </xdr:cNvSpPr>
      </xdr:nvSpPr>
      <xdr:spPr>
        <a:xfrm flipV="1">
          <a:off x="7991475" y="4495800"/>
          <a:ext cx="0" cy="15525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14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1089" name="Line 65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>
          <a:spLocks noChangeShapeType="1"/>
        </xdr:cNvSpPr>
      </xdr:nvSpPr>
      <xdr:spPr>
        <a:xfrm flipV="1">
          <a:off x="3190875" y="5734050"/>
          <a:ext cx="0" cy="3143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34</xdr:col>
      <xdr:colOff>0</xdr:colOff>
      <xdr:row>18</xdr:row>
      <xdr:rowOff>19050</xdr:rowOff>
    </xdr:from>
    <xdr:to>
      <xdr:col>34</xdr:col>
      <xdr:colOff>0</xdr:colOff>
      <xdr:row>19</xdr:row>
      <xdr:rowOff>0</xdr:rowOff>
    </xdr:to>
    <xdr:sp macro="" textlink="">
      <xdr:nvSpPr>
        <xdr:cNvPr id="1091" name="Line 67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>
          <a:spLocks noChangeShapeType="1"/>
        </xdr:cNvSpPr>
      </xdr:nvSpPr>
      <xdr:spPr>
        <a:xfrm flipV="1">
          <a:off x="6619875" y="5753100"/>
          <a:ext cx="0" cy="2952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39</xdr:col>
      <xdr:colOff>304800</xdr:colOff>
      <xdr:row>5</xdr:row>
      <xdr:rowOff>9525</xdr:rowOff>
    </xdr:from>
    <xdr:to>
      <xdr:col>39</xdr:col>
      <xdr:colOff>304800</xdr:colOff>
      <xdr:row>7</xdr:row>
      <xdr:rowOff>0</xdr:rowOff>
    </xdr:to>
    <xdr:sp macro="" textlink="">
      <xdr:nvSpPr>
        <xdr:cNvPr id="1101" name="Line 77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>
          <a:spLocks noChangeShapeType="1"/>
        </xdr:cNvSpPr>
      </xdr:nvSpPr>
      <xdr:spPr>
        <a:xfrm>
          <a:off x="7648575" y="165735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12</xdr:col>
      <xdr:colOff>0</xdr:colOff>
      <xdr:row>18</xdr:row>
      <xdr:rowOff>19050</xdr:rowOff>
    </xdr:to>
    <xdr:sp macro="" textlink="">
      <xdr:nvSpPr>
        <xdr:cNvPr id="1102" name="Line 78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>
          <a:spLocks noChangeShapeType="1"/>
        </xdr:cNvSpPr>
      </xdr:nvSpPr>
      <xdr:spPr>
        <a:xfrm>
          <a:off x="2847975" y="1333500"/>
          <a:ext cx="0" cy="44196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14</xdr:col>
      <xdr:colOff>0</xdr:colOff>
      <xdr:row>4</xdr:row>
      <xdr:rowOff>0</xdr:rowOff>
    </xdr:from>
    <xdr:to>
      <xdr:col>14</xdr:col>
      <xdr:colOff>0</xdr:colOff>
      <xdr:row>16</xdr:row>
      <xdr:rowOff>266700</xdr:rowOff>
    </xdr:to>
    <xdr:sp macro="" textlink="">
      <xdr:nvSpPr>
        <xdr:cNvPr id="1103" name="Line 79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>
          <a:spLocks noChangeShapeType="1"/>
        </xdr:cNvSpPr>
      </xdr:nvSpPr>
      <xdr:spPr>
        <a:xfrm>
          <a:off x="3190875" y="1333500"/>
          <a:ext cx="0" cy="40386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15</xdr:row>
      <xdr:rowOff>266700</xdr:rowOff>
    </xdr:to>
    <xdr:sp macro="" textlink="">
      <xdr:nvSpPr>
        <xdr:cNvPr id="1104" name="Line 80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>
          <a:spLocks noChangeShapeType="1"/>
        </xdr:cNvSpPr>
      </xdr:nvSpPr>
      <xdr:spPr>
        <a:xfrm>
          <a:off x="3533775" y="1333500"/>
          <a:ext cx="0" cy="37242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14</xdr:row>
      <xdr:rowOff>266700</xdr:rowOff>
    </xdr:to>
    <xdr:sp macro="" textlink="">
      <xdr:nvSpPr>
        <xdr:cNvPr id="1105" name="Line 8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>
          <a:spLocks noChangeShapeType="1"/>
        </xdr:cNvSpPr>
      </xdr:nvSpPr>
      <xdr:spPr>
        <a:xfrm>
          <a:off x="3876675" y="1333500"/>
          <a:ext cx="0" cy="34099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20</xdr:col>
      <xdr:colOff>0</xdr:colOff>
      <xdr:row>4</xdr:row>
      <xdr:rowOff>0</xdr:rowOff>
    </xdr:from>
    <xdr:to>
      <xdr:col>20</xdr:col>
      <xdr:colOff>0</xdr:colOff>
      <xdr:row>14</xdr:row>
      <xdr:rowOff>9525</xdr:rowOff>
    </xdr:to>
    <xdr:sp macro="" textlink="">
      <xdr:nvSpPr>
        <xdr:cNvPr id="1106" name="Line 82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>
          <a:spLocks noChangeShapeType="1"/>
        </xdr:cNvSpPr>
      </xdr:nvSpPr>
      <xdr:spPr>
        <a:xfrm>
          <a:off x="4219575" y="1333500"/>
          <a:ext cx="0" cy="31527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24</xdr:col>
      <xdr:colOff>0</xdr:colOff>
      <xdr:row>4</xdr:row>
      <xdr:rowOff>0</xdr:rowOff>
    </xdr:from>
    <xdr:to>
      <xdr:col>24</xdr:col>
      <xdr:colOff>0</xdr:colOff>
      <xdr:row>12</xdr:row>
      <xdr:rowOff>19050</xdr:rowOff>
    </xdr:to>
    <xdr:sp macro="" textlink="">
      <xdr:nvSpPr>
        <xdr:cNvPr id="1107" name="Line 83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>
          <a:spLocks noChangeShapeType="1"/>
        </xdr:cNvSpPr>
      </xdr:nvSpPr>
      <xdr:spPr>
        <a:xfrm>
          <a:off x="4905375" y="1333500"/>
          <a:ext cx="0" cy="2533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26</xdr:col>
      <xdr:colOff>0</xdr:colOff>
      <xdr:row>4</xdr:row>
      <xdr:rowOff>0</xdr:rowOff>
    </xdr:from>
    <xdr:to>
      <xdr:col>26</xdr:col>
      <xdr:colOff>0</xdr:colOff>
      <xdr:row>11</xdr:row>
      <xdr:rowOff>9525</xdr:rowOff>
    </xdr:to>
    <xdr:sp macro="" textlink="">
      <xdr:nvSpPr>
        <xdr:cNvPr id="1108" name="Line 84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>
          <a:spLocks noChangeShapeType="1"/>
        </xdr:cNvSpPr>
      </xdr:nvSpPr>
      <xdr:spPr>
        <a:xfrm>
          <a:off x="5248275" y="1333500"/>
          <a:ext cx="0" cy="22098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16</xdr:col>
      <xdr:colOff>0</xdr:colOff>
      <xdr:row>17</xdr:row>
      <xdr:rowOff>9525</xdr:rowOff>
    </xdr:from>
    <xdr:to>
      <xdr:col>16</xdr:col>
      <xdr:colOff>0</xdr:colOff>
      <xdr:row>19</xdr:row>
      <xdr:rowOff>0</xdr:rowOff>
    </xdr:to>
    <xdr:sp macro="" textlink="">
      <xdr:nvSpPr>
        <xdr:cNvPr id="1109" name="Line 85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>
          <a:spLocks noChangeShapeType="1"/>
        </xdr:cNvSpPr>
      </xdr:nvSpPr>
      <xdr:spPr>
        <a:xfrm>
          <a:off x="3533775" y="542925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34</xdr:col>
      <xdr:colOff>0</xdr:colOff>
      <xdr:row>4</xdr:row>
      <xdr:rowOff>0</xdr:rowOff>
    </xdr:from>
    <xdr:to>
      <xdr:col>34</xdr:col>
      <xdr:colOff>0</xdr:colOff>
      <xdr:row>7</xdr:row>
      <xdr:rowOff>9525</xdr:rowOff>
    </xdr:to>
    <xdr:sp macro="" textlink="">
      <xdr:nvSpPr>
        <xdr:cNvPr id="1113" name="Line 89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>
          <a:spLocks noChangeShapeType="1"/>
        </xdr:cNvSpPr>
      </xdr:nvSpPr>
      <xdr:spPr>
        <a:xfrm>
          <a:off x="6619875" y="1333500"/>
          <a:ext cx="0" cy="9525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36</xdr:col>
      <xdr:colOff>0</xdr:colOff>
      <xdr:row>4</xdr:row>
      <xdr:rowOff>0</xdr:rowOff>
    </xdr:from>
    <xdr:to>
      <xdr:col>36</xdr:col>
      <xdr:colOff>0</xdr:colOff>
      <xdr:row>6</xdr:row>
      <xdr:rowOff>0</xdr:rowOff>
    </xdr:to>
    <xdr:sp macro="" textlink="">
      <xdr:nvSpPr>
        <xdr:cNvPr id="1114" name="Line 90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>
          <a:spLocks noChangeShapeType="1"/>
        </xdr:cNvSpPr>
      </xdr:nvSpPr>
      <xdr:spPr>
        <a:xfrm>
          <a:off x="6962775" y="1333500"/>
          <a:ext cx="0" cy="628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38</xdr:col>
      <xdr:colOff>0</xdr:colOff>
      <xdr:row>4</xdr:row>
      <xdr:rowOff>0</xdr:rowOff>
    </xdr:from>
    <xdr:to>
      <xdr:col>38</xdr:col>
      <xdr:colOff>0</xdr:colOff>
      <xdr:row>5</xdr:row>
      <xdr:rowOff>9525</xdr:rowOff>
    </xdr:to>
    <xdr:sp macro="" textlink="">
      <xdr:nvSpPr>
        <xdr:cNvPr id="1115" name="Line 9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>
          <a:spLocks noChangeShapeType="1"/>
        </xdr:cNvSpPr>
      </xdr:nvSpPr>
      <xdr:spPr>
        <a:xfrm>
          <a:off x="7305675" y="1333500"/>
          <a:ext cx="0" cy="3238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28</xdr:col>
      <xdr:colOff>0</xdr:colOff>
      <xdr:row>4</xdr:row>
      <xdr:rowOff>0</xdr:rowOff>
    </xdr:from>
    <xdr:to>
      <xdr:col>28</xdr:col>
      <xdr:colOff>0</xdr:colOff>
      <xdr:row>10</xdr:row>
      <xdr:rowOff>19050</xdr:rowOff>
    </xdr:to>
    <xdr:sp macro="" textlink="">
      <xdr:nvSpPr>
        <xdr:cNvPr id="1116" name="Line 92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>
          <a:spLocks noChangeShapeType="1"/>
        </xdr:cNvSpPr>
      </xdr:nvSpPr>
      <xdr:spPr>
        <a:xfrm>
          <a:off x="5591175" y="1333500"/>
          <a:ext cx="0" cy="19050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32</xdr:col>
      <xdr:colOff>0</xdr:colOff>
      <xdr:row>4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1119" name="Line 95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>
          <a:spLocks noChangeShapeType="1"/>
        </xdr:cNvSpPr>
      </xdr:nvSpPr>
      <xdr:spPr>
        <a:xfrm>
          <a:off x="6276975" y="1333500"/>
          <a:ext cx="0" cy="12573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30</xdr:col>
      <xdr:colOff>0</xdr:colOff>
      <xdr:row>4</xdr:row>
      <xdr:rowOff>0</xdr:rowOff>
    </xdr:from>
    <xdr:to>
      <xdr:col>30</xdr:col>
      <xdr:colOff>0</xdr:colOff>
      <xdr:row>9</xdr:row>
      <xdr:rowOff>9525</xdr:rowOff>
    </xdr:to>
    <xdr:sp macro="" textlink="">
      <xdr:nvSpPr>
        <xdr:cNvPr id="1121" name="Line 97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>
          <a:spLocks noChangeShapeType="1"/>
        </xdr:cNvSpPr>
      </xdr:nvSpPr>
      <xdr:spPr>
        <a:xfrm>
          <a:off x="5934075" y="1333500"/>
          <a:ext cx="0" cy="15811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44</xdr:col>
      <xdr:colOff>0</xdr:colOff>
      <xdr:row>13</xdr:row>
      <xdr:rowOff>0</xdr:rowOff>
    </xdr:from>
    <xdr:to>
      <xdr:col>44</xdr:col>
      <xdr:colOff>0</xdr:colOff>
      <xdr:row>19</xdr:row>
      <xdr:rowOff>0</xdr:rowOff>
    </xdr:to>
    <xdr:sp macro="" textlink="">
      <xdr:nvSpPr>
        <xdr:cNvPr id="1131" name="Line 107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>
          <a:spLocks noChangeShapeType="1"/>
        </xdr:cNvSpPr>
      </xdr:nvSpPr>
      <xdr:spPr>
        <a:xfrm flipV="1">
          <a:off x="8334375" y="4162425"/>
          <a:ext cx="0" cy="18859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46</xdr:col>
      <xdr:colOff>0</xdr:colOff>
      <xdr:row>11</xdr:row>
      <xdr:rowOff>285750</xdr:rowOff>
    </xdr:from>
    <xdr:to>
      <xdr:col>46</xdr:col>
      <xdr:colOff>0</xdr:colOff>
      <xdr:row>19</xdr:row>
      <xdr:rowOff>0</xdr:rowOff>
    </xdr:to>
    <xdr:sp macro="" textlink="">
      <xdr:nvSpPr>
        <xdr:cNvPr id="1132" name="Line 108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>
          <a:spLocks noChangeShapeType="1"/>
        </xdr:cNvSpPr>
      </xdr:nvSpPr>
      <xdr:spPr>
        <a:xfrm flipV="1">
          <a:off x="8677275" y="3819525"/>
          <a:ext cx="0" cy="22288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48</xdr:col>
      <xdr:colOff>0</xdr:colOff>
      <xdr:row>10</xdr:row>
      <xdr:rowOff>285750</xdr:rowOff>
    </xdr:from>
    <xdr:to>
      <xdr:col>48</xdr:col>
      <xdr:colOff>0</xdr:colOff>
      <xdr:row>19</xdr:row>
      <xdr:rowOff>0</xdr:rowOff>
    </xdr:to>
    <xdr:sp macro="" textlink="">
      <xdr:nvSpPr>
        <xdr:cNvPr id="1133" name="Line 109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>
          <a:spLocks noChangeShapeType="1"/>
        </xdr:cNvSpPr>
      </xdr:nvSpPr>
      <xdr:spPr>
        <a:xfrm flipV="1">
          <a:off x="9020175" y="3505200"/>
          <a:ext cx="0" cy="25431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50</xdr:col>
      <xdr:colOff>0</xdr:colOff>
      <xdr:row>9</xdr:row>
      <xdr:rowOff>276225</xdr:rowOff>
    </xdr:from>
    <xdr:to>
      <xdr:col>50</xdr:col>
      <xdr:colOff>0</xdr:colOff>
      <xdr:row>19</xdr:row>
      <xdr:rowOff>0</xdr:rowOff>
    </xdr:to>
    <xdr:sp macro="" textlink="">
      <xdr:nvSpPr>
        <xdr:cNvPr id="1134" name="Line 110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>
          <a:spLocks noChangeShapeType="1"/>
        </xdr:cNvSpPr>
      </xdr:nvSpPr>
      <xdr:spPr>
        <a:xfrm flipV="1">
          <a:off x="9363075" y="3181350"/>
          <a:ext cx="0" cy="28670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52</xdr:col>
      <xdr:colOff>0</xdr:colOff>
      <xdr:row>8</xdr:row>
      <xdr:rowOff>285750</xdr:rowOff>
    </xdr:from>
    <xdr:to>
      <xdr:col>52</xdr:col>
      <xdr:colOff>0</xdr:colOff>
      <xdr:row>19</xdr:row>
      <xdr:rowOff>0</xdr:rowOff>
    </xdr:to>
    <xdr:sp macro="" textlink="">
      <xdr:nvSpPr>
        <xdr:cNvPr id="1135" name="Line 11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>
          <a:spLocks noChangeShapeType="1"/>
        </xdr:cNvSpPr>
      </xdr:nvSpPr>
      <xdr:spPr>
        <a:xfrm flipV="1">
          <a:off x="9705975" y="2876550"/>
          <a:ext cx="0" cy="31718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42</xdr:col>
      <xdr:colOff>0</xdr:colOff>
      <xdr:row>4</xdr:row>
      <xdr:rowOff>9525</xdr:rowOff>
    </xdr:from>
    <xdr:to>
      <xdr:col>42</xdr:col>
      <xdr:colOff>0</xdr:colOff>
      <xdr:row>5</xdr:row>
      <xdr:rowOff>276225</xdr:rowOff>
    </xdr:to>
    <xdr:sp macro="" textlink="">
      <xdr:nvSpPr>
        <xdr:cNvPr id="1141" name="Line 117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>
          <a:spLocks noChangeShapeType="1"/>
        </xdr:cNvSpPr>
      </xdr:nvSpPr>
      <xdr:spPr>
        <a:xfrm>
          <a:off x="7991475" y="1343025"/>
          <a:ext cx="0" cy="5810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44</xdr:col>
      <xdr:colOff>0</xdr:colOff>
      <xdr:row>4</xdr:row>
      <xdr:rowOff>9525</xdr:rowOff>
    </xdr:from>
    <xdr:to>
      <xdr:col>44</xdr:col>
      <xdr:colOff>0</xdr:colOff>
      <xdr:row>5</xdr:row>
      <xdr:rowOff>19050</xdr:rowOff>
    </xdr:to>
    <xdr:sp macro="" textlink="">
      <xdr:nvSpPr>
        <xdr:cNvPr id="1142" name="Line 118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>
          <a:spLocks noChangeShapeType="1"/>
        </xdr:cNvSpPr>
      </xdr:nvSpPr>
      <xdr:spPr>
        <a:xfrm>
          <a:off x="8334375" y="1343025"/>
          <a:ext cx="0" cy="3238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37</xdr:col>
      <xdr:colOff>304800</xdr:colOff>
      <xdr:row>6</xdr:row>
      <xdr:rowOff>9525</xdr:rowOff>
    </xdr:from>
    <xdr:to>
      <xdr:col>37</xdr:col>
      <xdr:colOff>304800</xdr:colOff>
      <xdr:row>8</xdr:row>
      <xdr:rowOff>0</xdr:rowOff>
    </xdr:to>
    <xdr:sp macro="" textlink="">
      <xdr:nvSpPr>
        <xdr:cNvPr id="1193" name="Line 169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>
          <a:spLocks noChangeShapeType="1"/>
        </xdr:cNvSpPr>
      </xdr:nvSpPr>
      <xdr:spPr>
        <a:xfrm>
          <a:off x="7305675" y="1971675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35</xdr:col>
      <xdr:colOff>304800</xdr:colOff>
      <xdr:row>7</xdr:row>
      <xdr:rowOff>9525</xdr:rowOff>
    </xdr:from>
    <xdr:to>
      <xdr:col>35</xdr:col>
      <xdr:colOff>304800</xdr:colOff>
      <xdr:row>9</xdr:row>
      <xdr:rowOff>0</xdr:rowOff>
    </xdr:to>
    <xdr:sp macro="" textlink="">
      <xdr:nvSpPr>
        <xdr:cNvPr id="1194" name="Line 170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SpPr>
          <a:spLocks noChangeShapeType="1"/>
        </xdr:cNvSpPr>
      </xdr:nvSpPr>
      <xdr:spPr>
        <a:xfrm>
          <a:off x="6962775" y="228600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33</xdr:col>
      <xdr:colOff>304800</xdr:colOff>
      <xdr:row>8</xdr:row>
      <xdr:rowOff>9525</xdr:rowOff>
    </xdr:from>
    <xdr:to>
      <xdr:col>33</xdr:col>
      <xdr:colOff>304800</xdr:colOff>
      <xdr:row>10</xdr:row>
      <xdr:rowOff>0</xdr:rowOff>
    </xdr:to>
    <xdr:sp macro="" textlink="">
      <xdr:nvSpPr>
        <xdr:cNvPr id="1195" name="Line 17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SpPr>
          <a:spLocks noChangeShapeType="1"/>
        </xdr:cNvSpPr>
      </xdr:nvSpPr>
      <xdr:spPr>
        <a:xfrm>
          <a:off x="6619875" y="2600325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31</xdr:col>
      <xdr:colOff>304800</xdr:colOff>
      <xdr:row>9</xdr:row>
      <xdr:rowOff>9525</xdr:rowOff>
    </xdr:from>
    <xdr:to>
      <xdr:col>31</xdr:col>
      <xdr:colOff>304800</xdr:colOff>
      <xdr:row>11</xdr:row>
      <xdr:rowOff>0</xdr:rowOff>
    </xdr:to>
    <xdr:sp macro="" textlink="">
      <xdr:nvSpPr>
        <xdr:cNvPr id="1196" name="Line 172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SpPr>
          <a:spLocks noChangeShapeType="1"/>
        </xdr:cNvSpPr>
      </xdr:nvSpPr>
      <xdr:spPr>
        <a:xfrm>
          <a:off x="6276975" y="291465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29</xdr:col>
      <xdr:colOff>304800</xdr:colOff>
      <xdr:row>10</xdr:row>
      <xdr:rowOff>9525</xdr:rowOff>
    </xdr:from>
    <xdr:to>
      <xdr:col>29</xdr:col>
      <xdr:colOff>304800</xdr:colOff>
      <xdr:row>12</xdr:row>
      <xdr:rowOff>0</xdr:rowOff>
    </xdr:to>
    <xdr:sp macro="" textlink="">
      <xdr:nvSpPr>
        <xdr:cNvPr id="1197" name="Line 173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SpPr>
          <a:spLocks noChangeShapeType="1"/>
        </xdr:cNvSpPr>
      </xdr:nvSpPr>
      <xdr:spPr>
        <a:xfrm>
          <a:off x="5934075" y="3228975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28</xdr:col>
      <xdr:colOff>0</xdr:colOff>
      <xdr:row>11</xdr:row>
      <xdr:rowOff>9525</xdr:rowOff>
    </xdr:from>
    <xdr:to>
      <xdr:col>28</xdr:col>
      <xdr:colOff>0</xdr:colOff>
      <xdr:row>13</xdr:row>
      <xdr:rowOff>0</xdr:rowOff>
    </xdr:to>
    <xdr:sp macro="" textlink="">
      <xdr:nvSpPr>
        <xdr:cNvPr id="1198" name="Line 174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SpPr>
          <a:spLocks noChangeShapeType="1"/>
        </xdr:cNvSpPr>
      </xdr:nvSpPr>
      <xdr:spPr>
        <a:xfrm>
          <a:off x="5591175" y="354330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26</xdr:col>
      <xdr:colOff>0</xdr:colOff>
      <xdr:row>12</xdr:row>
      <xdr:rowOff>9525</xdr:rowOff>
    </xdr:from>
    <xdr:to>
      <xdr:col>26</xdr:col>
      <xdr:colOff>0</xdr:colOff>
      <xdr:row>14</xdr:row>
      <xdr:rowOff>0</xdr:rowOff>
    </xdr:to>
    <xdr:sp macro="" textlink="">
      <xdr:nvSpPr>
        <xdr:cNvPr id="1199" name="Line 175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SpPr>
          <a:spLocks noChangeShapeType="1"/>
        </xdr:cNvSpPr>
      </xdr:nvSpPr>
      <xdr:spPr>
        <a:xfrm>
          <a:off x="5248275" y="3857625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0</xdr:colOff>
      <xdr:row>13</xdr:row>
      <xdr:rowOff>9525</xdr:rowOff>
    </xdr:from>
    <xdr:to>
      <xdr:col>24</xdr:col>
      <xdr:colOff>0</xdr:colOff>
      <xdr:row>15</xdr:row>
      <xdr:rowOff>0</xdr:rowOff>
    </xdr:to>
    <xdr:sp macro="" textlink="">
      <xdr:nvSpPr>
        <xdr:cNvPr id="1200" name="Line 176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SpPr>
          <a:spLocks noChangeShapeType="1"/>
        </xdr:cNvSpPr>
      </xdr:nvSpPr>
      <xdr:spPr>
        <a:xfrm>
          <a:off x="4905375" y="417195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0</xdr:colOff>
      <xdr:row>14</xdr:row>
      <xdr:rowOff>9525</xdr:rowOff>
    </xdr:from>
    <xdr:to>
      <xdr:col>22</xdr:col>
      <xdr:colOff>0</xdr:colOff>
      <xdr:row>16</xdr:row>
      <xdr:rowOff>0</xdr:rowOff>
    </xdr:to>
    <xdr:sp macro="" textlink="">
      <xdr:nvSpPr>
        <xdr:cNvPr id="1201" name="Line 177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SpPr>
          <a:spLocks noChangeShapeType="1"/>
        </xdr:cNvSpPr>
      </xdr:nvSpPr>
      <xdr:spPr>
        <a:xfrm>
          <a:off x="4562475" y="4486275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20</xdr:col>
      <xdr:colOff>0</xdr:colOff>
      <xdr:row>15</xdr:row>
      <xdr:rowOff>9525</xdr:rowOff>
    </xdr:from>
    <xdr:to>
      <xdr:col>20</xdr:col>
      <xdr:colOff>0</xdr:colOff>
      <xdr:row>17</xdr:row>
      <xdr:rowOff>0</xdr:rowOff>
    </xdr:to>
    <xdr:sp macro="" textlink="">
      <xdr:nvSpPr>
        <xdr:cNvPr id="1202" name="Line 178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SpPr>
          <a:spLocks noChangeShapeType="1"/>
        </xdr:cNvSpPr>
      </xdr:nvSpPr>
      <xdr:spPr>
        <a:xfrm>
          <a:off x="4219575" y="4800600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18</xdr:col>
      <xdr:colOff>0</xdr:colOff>
      <xdr:row>16</xdr:row>
      <xdr:rowOff>9525</xdr:rowOff>
    </xdr:from>
    <xdr:to>
      <xdr:col>18</xdr:col>
      <xdr:colOff>0</xdr:colOff>
      <xdr:row>18</xdr:row>
      <xdr:rowOff>0</xdr:rowOff>
    </xdr:to>
    <xdr:sp macro="" textlink="">
      <xdr:nvSpPr>
        <xdr:cNvPr id="1203" name="Line 179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SpPr>
          <a:spLocks noChangeShapeType="1"/>
        </xdr:cNvSpPr>
      </xdr:nvSpPr>
      <xdr:spPr>
        <a:xfrm>
          <a:off x="3876675" y="5114925"/>
          <a:ext cx="0" cy="61912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0</xdr:colOff>
      <xdr:row>18</xdr:row>
      <xdr:rowOff>171450</xdr:rowOff>
    </xdr:to>
    <xdr:sp macro="" textlink="">
      <xdr:nvSpPr>
        <xdr:cNvPr id="1210" name="Line 186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>
          <a:spLocks noChangeShapeType="1"/>
        </xdr:cNvSpPr>
      </xdr:nvSpPr>
      <xdr:spPr>
        <a:xfrm>
          <a:off x="2505075" y="1333500"/>
          <a:ext cx="0" cy="45720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0</xdr:col>
      <xdr:colOff>142875</xdr:colOff>
      <xdr:row>19</xdr:row>
      <xdr:rowOff>28575</xdr:rowOff>
    </xdr:from>
    <xdr:to>
      <xdr:col>0</xdr:col>
      <xdr:colOff>142875</xdr:colOff>
      <xdr:row>19</xdr:row>
      <xdr:rowOff>228600</xdr:rowOff>
    </xdr:to>
    <xdr:sp macro="" textlink="">
      <xdr:nvSpPr>
        <xdr:cNvPr id="1211" name="Line 187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>
          <a:spLocks noChangeShapeType="1"/>
        </xdr:cNvSpPr>
      </xdr:nvSpPr>
      <xdr:spPr>
        <a:xfrm>
          <a:off x="142875" y="6076950"/>
          <a:ext cx="0" cy="200025"/>
        </a:xfrm>
        <a:prstGeom prst="line">
          <a:avLst/>
        </a:prstGeom>
        <a:noFill/>
        <a:ln w="12700">
          <a:solidFill>
            <a:srgbClr val="000000"/>
          </a:solidFill>
          <a:round/>
          <a:tailEnd type="triangle" w="med" len="med"/>
        </a:ln>
        <a:effectLst/>
      </xdr:spPr>
    </xdr:sp>
    <xdr:clientData/>
  </xdr:twoCellAnchor>
  <xdr:twoCellAnchor>
    <xdr:from>
      <xdr:col>0</xdr:col>
      <xdr:colOff>142875</xdr:colOff>
      <xdr:row>21</xdr:row>
      <xdr:rowOff>19050</xdr:rowOff>
    </xdr:from>
    <xdr:to>
      <xdr:col>0</xdr:col>
      <xdr:colOff>142875</xdr:colOff>
      <xdr:row>21</xdr:row>
      <xdr:rowOff>228600</xdr:rowOff>
    </xdr:to>
    <xdr:sp macro="" textlink="">
      <xdr:nvSpPr>
        <xdr:cNvPr id="1212" name="Line 188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>
          <a:spLocks noChangeShapeType="1"/>
        </xdr:cNvSpPr>
      </xdr:nvSpPr>
      <xdr:spPr>
        <a:xfrm rot="-10726868">
          <a:off x="142875" y="6515100"/>
          <a:ext cx="0" cy="200025"/>
        </a:xfrm>
        <a:prstGeom prst="line">
          <a:avLst/>
        </a:prstGeom>
        <a:noFill/>
        <a:ln w="12700">
          <a:solidFill>
            <a:srgbClr val="000000"/>
          </a:solidFill>
          <a:round/>
          <a:tailEnd type="triangle" w="med" len="med"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161925</xdr:colOff>
      <xdr:row>7</xdr:row>
      <xdr:rowOff>0</xdr:rowOff>
    </xdr:from>
    <xdr:to>
      <xdr:col>25</xdr:col>
      <xdr:colOff>0</xdr:colOff>
      <xdr:row>15</xdr:row>
      <xdr:rowOff>285750</xdr:rowOff>
    </xdr:to>
    <xdr:sp macro="" textlink="">
      <xdr:nvSpPr>
        <xdr:cNvPr id="2049" name="Line 1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>
          <a:spLocks noChangeShapeType="1"/>
        </xdr:cNvSpPr>
      </xdr:nvSpPr>
      <xdr:spPr>
        <a:xfrm flipH="1">
          <a:off x="5223510" y="1466850"/>
          <a:ext cx="30480" cy="27241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39</xdr:col>
      <xdr:colOff>9525</xdr:colOff>
      <xdr:row>20</xdr:row>
      <xdr:rowOff>0</xdr:rowOff>
    </xdr:from>
    <xdr:to>
      <xdr:col>39</xdr:col>
      <xdr:colOff>9525</xdr:colOff>
      <xdr:row>22</xdr:row>
      <xdr:rowOff>0</xdr:rowOff>
    </xdr:to>
    <xdr:sp macro="" textlink="">
      <xdr:nvSpPr>
        <xdr:cNvPr id="2050" name="Line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>
          <a:spLocks noChangeShapeType="1"/>
        </xdr:cNvSpPr>
      </xdr:nvSpPr>
      <xdr:spPr>
        <a:xfrm flipV="1">
          <a:off x="7957185" y="5429250"/>
          <a:ext cx="0" cy="6096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41</xdr:col>
      <xdr:colOff>0</xdr:colOff>
      <xdr:row>19</xdr:row>
      <xdr:rowOff>0</xdr:rowOff>
    </xdr:from>
    <xdr:to>
      <xdr:col>41</xdr:col>
      <xdr:colOff>0</xdr:colOff>
      <xdr:row>22</xdr:row>
      <xdr:rowOff>0</xdr:rowOff>
    </xdr:to>
    <xdr:sp macro="" textlink="">
      <xdr:nvSpPr>
        <xdr:cNvPr id="2051" name="Line 3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SpPr>
          <a:spLocks noChangeShapeType="1"/>
        </xdr:cNvSpPr>
      </xdr:nvSpPr>
      <xdr:spPr>
        <a:xfrm flipV="1">
          <a:off x="8332470" y="5124450"/>
          <a:ext cx="0" cy="9144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43</xdr:col>
      <xdr:colOff>0</xdr:colOff>
      <xdr:row>18</xdr:row>
      <xdr:rowOff>0</xdr:rowOff>
    </xdr:from>
    <xdr:to>
      <xdr:col>43</xdr:col>
      <xdr:colOff>0</xdr:colOff>
      <xdr:row>22</xdr:row>
      <xdr:rowOff>0</xdr:rowOff>
    </xdr:to>
    <xdr:sp macro="" textlink="">
      <xdr:nvSpPr>
        <xdr:cNvPr id="2052" name="Line 4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>
          <a:spLocks noChangeShapeType="1"/>
        </xdr:cNvSpPr>
      </xdr:nvSpPr>
      <xdr:spPr>
        <a:xfrm flipV="1">
          <a:off x="8717280" y="4819650"/>
          <a:ext cx="0" cy="12192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45</xdr:col>
      <xdr:colOff>0</xdr:colOff>
      <xdr:row>17</xdr:row>
      <xdr:rowOff>19050</xdr:rowOff>
    </xdr:from>
    <xdr:to>
      <xdr:col>45</xdr:col>
      <xdr:colOff>0</xdr:colOff>
      <xdr:row>22</xdr:row>
      <xdr:rowOff>0</xdr:rowOff>
    </xdr:to>
    <xdr:sp macro="" textlink="">
      <xdr:nvSpPr>
        <xdr:cNvPr id="2053" name="Line 5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>
          <a:spLocks noChangeShapeType="1"/>
        </xdr:cNvSpPr>
      </xdr:nvSpPr>
      <xdr:spPr>
        <a:xfrm flipV="1">
          <a:off x="9102090" y="4533900"/>
          <a:ext cx="0" cy="15049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17</xdr:col>
      <xdr:colOff>0</xdr:colOff>
      <xdr:row>21</xdr:row>
      <xdr:rowOff>0</xdr:rowOff>
    </xdr:from>
    <xdr:to>
      <xdr:col>17</xdr:col>
      <xdr:colOff>0</xdr:colOff>
      <xdr:row>22</xdr:row>
      <xdr:rowOff>0</xdr:rowOff>
    </xdr:to>
    <xdr:sp macro="" textlink="">
      <xdr:nvSpPr>
        <xdr:cNvPr id="2054" name="Line 6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>
          <a:spLocks noChangeShapeType="1"/>
        </xdr:cNvSpPr>
      </xdr:nvSpPr>
      <xdr:spPr>
        <a:xfrm flipV="1">
          <a:off x="3714750" y="5734050"/>
          <a:ext cx="0" cy="3048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37</xdr:col>
      <xdr:colOff>0</xdr:colOff>
      <xdr:row>21</xdr:row>
      <xdr:rowOff>19050</xdr:rowOff>
    </xdr:from>
    <xdr:to>
      <xdr:col>37</xdr:col>
      <xdr:colOff>0</xdr:colOff>
      <xdr:row>22</xdr:row>
      <xdr:rowOff>0</xdr:rowOff>
    </xdr:to>
    <xdr:sp macro="" textlink="">
      <xdr:nvSpPr>
        <xdr:cNvPr id="2055" name="Line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>
          <a:spLocks noChangeShapeType="1"/>
        </xdr:cNvSpPr>
      </xdr:nvSpPr>
      <xdr:spPr>
        <a:xfrm flipV="1">
          <a:off x="7562850" y="5753100"/>
          <a:ext cx="0" cy="2857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42</xdr:col>
      <xdr:colOff>304800</xdr:colOff>
      <xdr:row>8</xdr:row>
      <xdr:rowOff>9525</xdr:rowOff>
    </xdr:from>
    <xdr:to>
      <xdr:col>42</xdr:col>
      <xdr:colOff>304800</xdr:colOff>
      <xdr:row>10</xdr:row>
      <xdr:rowOff>0</xdr:rowOff>
    </xdr:to>
    <xdr:sp macro="" textlink="">
      <xdr:nvSpPr>
        <xdr:cNvPr id="2056" name="Line 8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>
          <a:spLocks noChangeShapeType="1"/>
        </xdr:cNvSpPr>
      </xdr:nvSpPr>
      <xdr:spPr>
        <a:xfrm>
          <a:off x="8717280" y="17811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15</xdr:col>
      <xdr:colOff>0</xdr:colOff>
      <xdr:row>7</xdr:row>
      <xdr:rowOff>0</xdr:rowOff>
    </xdr:from>
    <xdr:to>
      <xdr:col>15</xdr:col>
      <xdr:colOff>0</xdr:colOff>
      <xdr:row>21</xdr:row>
      <xdr:rowOff>19050</xdr:rowOff>
    </xdr:to>
    <xdr:sp macro="" textlink="">
      <xdr:nvSpPr>
        <xdr:cNvPr id="2057" name="Line 9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>
          <a:spLocks noChangeShapeType="1"/>
        </xdr:cNvSpPr>
      </xdr:nvSpPr>
      <xdr:spPr>
        <a:xfrm>
          <a:off x="3329940" y="1466850"/>
          <a:ext cx="0" cy="42862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17</xdr:col>
      <xdr:colOff>0</xdr:colOff>
      <xdr:row>7</xdr:row>
      <xdr:rowOff>0</xdr:rowOff>
    </xdr:from>
    <xdr:to>
      <xdr:col>17</xdr:col>
      <xdr:colOff>0</xdr:colOff>
      <xdr:row>19</xdr:row>
      <xdr:rowOff>266700</xdr:rowOff>
    </xdr:to>
    <xdr:sp macro="" textlink="">
      <xdr:nvSpPr>
        <xdr:cNvPr id="2058" name="Line 10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>
          <a:spLocks noChangeShapeType="1"/>
        </xdr:cNvSpPr>
      </xdr:nvSpPr>
      <xdr:spPr>
        <a:xfrm>
          <a:off x="3714750" y="1466850"/>
          <a:ext cx="0" cy="39243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19</xdr:col>
      <xdr:colOff>0</xdr:colOff>
      <xdr:row>7</xdr:row>
      <xdr:rowOff>0</xdr:rowOff>
    </xdr:from>
    <xdr:to>
      <xdr:col>19</xdr:col>
      <xdr:colOff>0</xdr:colOff>
      <xdr:row>18</xdr:row>
      <xdr:rowOff>266700</xdr:rowOff>
    </xdr:to>
    <xdr:sp macro="" textlink="">
      <xdr:nvSpPr>
        <xdr:cNvPr id="2059" name="Line 1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SpPr>
          <a:spLocks noChangeShapeType="1"/>
        </xdr:cNvSpPr>
      </xdr:nvSpPr>
      <xdr:spPr>
        <a:xfrm>
          <a:off x="4099560" y="1466850"/>
          <a:ext cx="0" cy="36195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0</xdr:colOff>
      <xdr:row>17</xdr:row>
      <xdr:rowOff>266700</xdr:rowOff>
    </xdr:to>
    <xdr:sp macro="" textlink="">
      <xdr:nvSpPr>
        <xdr:cNvPr id="2060" name="Line 12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SpPr>
          <a:spLocks noChangeShapeType="1"/>
        </xdr:cNvSpPr>
      </xdr:nvSpPr>
      <xdr:spPr>
        <a:xfrm>
          <a:off x="4484370" y="1466850"/>
          <a:ext cx="0" cy="33147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23</xdr:col>
      <xdr:colOff>0</xdr:colOff>
      <xdr:row>7</xdr:row>
      <xdr:rowOff>0</xdr:rowOff>
    </xdr:from>
    <xdr:to>
      <xdr:col>23</xdr:col>
      <xdr:colOff>0</xdr:colOff>
      <xdr:row>17</xdr:row>
      <xdr:rowOff>9525</xdr:rowOff>
    </xdr:to>
    <xdr:sp macro="" textlink="">
      <xdr:nvSpPr>
        <xdr:cNvPr id="2061" name="Line 13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SpPr>
          <a:spLocks noChangeShapeType="1"/>
        </xdr:cNvSpPr>
      </xdr:nvSpPr>
      <xdr:spPr>
        <a:xfrm>
          <a:off x="4869180" y="1466850"/>
          <a:ext cx="0" cy="30575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27</xdr:col>
      <xdr:colOff>0</xdr:colOff>
      <xdr:row>7</xdr:row>
      <xdr:rowOff>0</xdr:rowOff>
    </xdr:from>
    <xdr:to>
      <xdr:col>27</xdr:col>
      <xdr:colOff>0</xdr:colOff>
      <xdr:row>15</xdr:row>
      <xdr:rowOff>19050</xdr:rowOff>
    </xdr:to>
    <xdr:sp macro="" textlink="">
      <xdr:nvSpPr>
        <xdr:cNvPr id="2062" name="Line 14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>
          <a:spLocks noChangeShapeType="1"/>
        </xdr:cNvSpPr>
      </xdr:nvSpPr>
      <xdr:spPr>
        <a:xfrm>
          <a:off x="5638800" y="1466850"/>
          <a:ext cx="0" cy="24574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29</xdr:col>
      <xdr:colOff>0</xdr:colOff>
      <xdr:row>7</xdr:row>
      <xdr:rowOff>0</xdr:rowOff>
    </xdr:from>
    <xdr:to>
      <xdr:col>29</xdr:col>
      <xdr:colOff>0</xdr:colOff>
      <xdr:row>14</xdr:row>
      <xdr:rowOff>9525</xdr:rowOff>
    </xdr:to>
    <xdr:sp macro="" textlink="">
      <xdr:nvSpPr>
        <xdr:cNvPr id="2063" name="Line 15">
          <a:extLs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SpPr>
          <a:spLocks noChangeShapeType="1"/>
        </xdr:cNvSpPr>
      </xdr:nvSpPr>
      <xdr:spPr>
        <a:xfrm>
          <a:off x="6023610" y="1466850"/>
          <a:ext cx="0" cy="21431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19</xdr:col>
      <xdr:colOff>0</xdr:colOff>
      <xdr:row>20</xdr:row>
      <xdr:rowOff>9525</xdr:rowOff>
    </xdr:from>
    <xdr:to>
      <xdr:col>19</xdr:col>
      <xdr:colOff>0</xdr:colOff>
      <xdr:row>22</xdr:row>
      <xdr:rowOff>0</xdr:rowOff>
    </xdr:to>
    <xdr:sp macro="" textlink="">
      <xdr:nvSpPr>
        <xdr:cNvPr id="2064" name="Line 16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SpPr>
          <a:spLocks noChangeShapeType="1"/>
        </xdr:cNvSpPr>
      </xdr:nvSpPr>
      <xdr:spPr>
        <a:xfrm>
          <a:off x="4099560" y="54387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37</xdr:col>
      <xdr:colOff>0</xdr:colOff>
      <xdr:row>7</xdr:row>
      <xdr:rowOff>0</xdr:rowOff>
    </xdr:from>
    <xdr:to>
      <xdr:col>37</xdr:col>
      <xdr:colOff>0</xdr:colOff>
      <xdr:row>10</xdr:row>
      <xdr:rowOff>9525</xdr:rowOff>
    </xdr:to>
    <xdr:sp macro="" textlink="">
      <xdr:nvSpPr>
        <xdr:cNvPr id="2065" name="Line 17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SpPr>
          <a:spLocks noChangeShapeType="1"/>
        </xdr:cNvSpPr>
      </xdr:nvSpPr>
      <xdr:spPr>
        <a:xfrm>
          <a:off x="7562850" y="1466850"/>
          <a:ext cx="0" cy="9239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0</xdr:colOff>
      <xdr:row>9</xdr:row>
      <xdr:rowOff>0</xdr:rowOff>
    </xdr:to>
    <xdr:sp macro="" textlink="">
      <xdr:nvSpPr>
        <xdr:cNvPr id="2066" name="Line 18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SpPr>
          <a:spLocks noChangeShapeType="1"/>
        </xdr:cNvSpPr>
      </xdr:nvSpPr>
      <xdr:spPr>
        <a:xfrm>
          <a:off x="7947660" y="1466850"/>
          <a:ext cx="0" cy="6096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41</xdr:col>
      <xdr:colOff>0</xdr:colOff>
      <xdr:row>7</xdr:row>
      <xdr:rowOff>0</xdr:rowOff>
    </xdr:from>
    <xdr:to>
      <xdr:col>41</xdr:col>
      <xdr:colOff>0</xdr:colOff>
      <xdr:row>8</xdr:row>
      <xdr:rowOff>9525</xdr:rowOff>
    </xdr:to>
    <xdr:sp macro="" textlink="">
      <xdr:nvSpPr>
        <xdr:cNvPr id="2067" name="Line 19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SpPr>
          <a:spLocks noChangeShapeType="1"/>
        </xdr:cNvSpPr>
      </xdr:nvSpPr>
      <xdr:spPr>
        <a:xfrm>
          <a:off x="8332470" y="1466850"/>
          <a:ext cx="0" cy="3143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13</xdr:row>
      <xdr:rowOff>19050</xdr:rowOff>
    </xdr:to>
    <xdr:sp macro="" textlink="">
      <xdr:nvSpPr>
        <xdr:cNvPr id="2068" name="Line 20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SpPr>
          <a:spLocks noChangeShapeType="1"/>
        </xdr:cNvSpPr>
      </xdr:nvSpPr>
      <xdr:spPr>
        <a:xfrm>
          <a:off x="6408420" y="1466850"/>
          <a:ext cx="0" cy="18478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0</xdr:colOff>
      <xdr:row>11</xdr:row>
      <xdr:rowOff>0</xdr:rowOff>
    </xdr:to>
    <xdr:sp macro="" textlink="">
      <xdr:nvSpPr>
        <xdr:cNvPr id="2069" name="Line 2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SpPr>
          <a:spLocks noChangeShapeType="1"/>
        </xdr:cNvSpPr>
      </xdr:nvSpPr>
      <xdr:spPr>
        <a:xfrm>
          <a:off x="7178040" y="1466850"/>
          <a:ext cx="0" cy="12192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33</xdr:col>
      <xdr:colOff>0</xdr:colOff>
      <xdr:row>7</xdr:row>
      <xdr:rowOff>0</xdr:rowOff>
    </xdr:from>
    <xdr:to>
      <xdr:col>33</xdr:col>
      <xdr:colOff>0</xdr:colOff>
      <xdr:row>12</xdr:row>
      <xdr:rowOff>9525</xdr:rowOff>
    </xdr:to>
    <xdr:sp macro="" textlink="">
      <xdr:nvSpPr>
        <xdr:cNvPr id="2070" name="Line 22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>
          <a:spLocks noChangeShapeType="1"/>
        </xdr:cNvSpPr>
      </xdr:nvSpPr>
      <xdr:spPr>
        <a:xfrm>
          <a:off x="6793230" y="1466850"/>
          <a:ext cx="0" cy="15335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47</xdr:col>
      <xdr:colOff>0</xdr:colOff>
      <xdr:row>16</xdr:row>
      <xdr:rowOff>0</xdr:rowOff>
    </xdr:from>
    <xdr:to>
      <xdr:col>47</xdr:col>
      <xdr:colOff>0</xdr:colOff>
      <xdr:row>22</xdr:row>
      <xdr:rowOff>0</xdr:rowOff>
    </xdr:to>
    <xdr:sp macro="" textlink="">
      <xdr:nvSpPr>
        <xdr:cNvPr id="2071" name="Line 23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SpPr>
          <a:spLocks noChangeShapeType="1"/>
        </xdr:cNvSpPr>
      </xdr:nvSpPr>
      <xdr:spPr>
        <a:xfrm flipV="1">
          <a:off x="9486900" y="4210050"/>
          <a:ext cx="0" cy="18288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49</xdr:col>
      <xdr:colOff>0</xdr:colOff>
      <xdr:row>14</xdr:row>
      <xdr:rowOff>285750</xdr:rowOff>
    </xdr:from>
    <xdr:to>
      <xdr:col>49</xdr:col>
      <xdr:colOff>0</xdr:colOff>
      <xdr:row>22</xdr:row>
      <xdr:rowOff>0</xdr:rowOff>
    </xdr:to>
    <xdr:sp macro="" textlink="">
      <xdr:nvSpPr>
        <xdr:cNvPr id="2072" name="Line 24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SpPr>
          <a:spLocks noChangeShapeType="1"/>
        </xdr:cNvSpPr>
      </xdr:nvSpPr>
      <xdr:spPr>
        <a:xfrm flipV="1">
          <a:off x="9871710" y="3886200"/>
          <a:ext cx="0" cy="2152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51</xdr:col>
      <xdr:colOff>0</xdr:colOff>
      <xdr:row>13</xdr:row>
      <xdr:rowOff>285750</xdr:rowOff>
    </xdr:from>
    <xdr:to>
      <xdr:col>51</xdr:col>
      <xdr:colOff>0</xdr:colOff>
      <xdr:row>22</xdr:row>
      <xdr:rowOff>0</xdr:rowOff>
    </xdr:to>
    <xdr:sp macro="" textlink="">
      <xdr:nvSpPr>
        <xdr:cNvPr id="2073" name="Line 25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SpPr>
          <a:spLocks noChangeShapeType="1"/>
        </xdr:cNvSpPr>
      </xdr:nvSpPr>
      <xdr:spPr>
        <a:xfrm flipV="1">
          <a:off x="10256520" y="3581400"/>
          <a:ext cx="0" cy="24574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53</xdr:col>
      <xdr:colOff>0</xdr:colOff>
      <xdr:row>12</xdr:row>
      <xdr:rowOff>276225</xdr:rowOff>
    </xdr:from>
    <xdr:to>
      <xdr:col>53</xdr:col>
      <xdr:colOff>0</xdr:colOff>
      <xdr:row>22</xdr:row>
      <xdr:rowOff>0</xdr:rowOff>
    </xdr:to>
    <xdr:sp macro="" textlink="">
      <xdr:nvSpPr>
        <xdr:cNvPr id="2074" name="Line 26">
          <a:extLst>
            <a:ext uri="{FF2B5EF4-FFF2-40B4-BE49-F238E27FC236}">
              <a16:creationId xmlns:a16="http://schemas.microsoft.com/office/drawing/2014/main" id="{00000000-0008-0000-0100-00001A080000}"/>
            </a:ext>
          </a:extLst>
        </xdr:cNvPr>
        <xdr:cNvSpPr>
          <a:spLocks noChangeShapeType="1"/>
        </xdr:cNvSpPr>
      </xdr:nvSpPr>
      <xdr:spPr>
        <a:xfrm flipV="1">
          <a:off x="10641330" y="3267075"/>
          <a:ext cx="0" cy="277177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55</xdr:col>
      <xdr:colOff>0</xdr:colOff>
      <xdr:row>11</xdr:row>
      <xdr:rowOff>285750</xdr:rowOff>
    </xdr:from>
    <xdr:to>
      <xdr:col>55</xdr:col>
      <xdr:colOff>0</xdr:colOff>
      <xdr:row>22</xdr:row>
      <xdr:rowOff>0</xdr:rowOff>
    </xdr:to>
    <xdr:sp macro="" textlink="">
      <xdr:nvSpPr>
        <xdr:cNvPr id="2075" name="Lin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ShapeType="1"/>
        </xdr:cNvSpPr>
      </xdr:nvSpPr>
      <xdr:spPr>
        <a:xfrm flipV="1">
          <a:off x="11026140" y="2971800"/>
          <a:ext cx="0" cy="30670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45</xdr:col>
      <xdr:colOff>0</xdr:colOff>
      <xdr:row>7</xdr:row>
      <xdr:rowOff>9525</xdr:rowOff>
    </xdr:from>
    <xdr:to>
      <xdr:col>45</xdr:col>
      <xdr:colOff>0</xdr:colOff>
      <xdr:row>8</xdr:row>
      <xdr:rowOff>276225</xdr:rowOff>
    </xdr:to>
    <xdr:sp macro="" textlink="">
      <xdr:nvSpPr>
        <xdr:cNvPr id="2076" name="Line 28">
          <a:extLst>
            <a:ext uri="{FF2B5EF4-FFF2-40B4-BE49-F238E27FC236}">
              <a16:creationId xmlns:a16="http://schemas.microsoft.com/office/drawing/2014/main" id="{00000000-0008-0000-0100-00001C080000}"/>
            </a:ext>
          </a:extLst>
        </xdr:cNvPr>
        <xdr:cNvSpPr>
          <a:spLocks noChangeShapeType="1"/>
        </xdr:cNvSpPr>
      </xdr:nvSpPr>
      <xdr:spPr>
        <a:xfrm>
          <a:off x="9102090" y="1476375"/>
          <a:ext cx="0" cy="5715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47</xdr:col>
      <xdr:colOff>0</xdr:colOff>
      <xdr:row>7</xdr:row>
      <xdr:rowOff>9525</xdr:rowOff>
    </xdr:from>
    <xdr:to>
      <xdr:col>47</xdr:col>
      <xdr:colOff>0</xdr:colOff>
      <xdr:row>8</xdr:row>
      <xdr:rowOff>19050</xdr:rowOff>
    </xdr:to>
    <xdr:sp macro="" textlink="">
      <xdr:nvSpPr>
        <xdr:cNvPr id="2077" name="Line 29">
          <a:extLst>
            <a:ext uri="{FF2B5EF4-FFF2-40B4-BE49-F238E27FC236}">
              <a16:creationId xmlns:a16="http://schemas.microsoft.com/office/drawing/2014/main" id="{00000000-0008-0000-0100-00001D080000}"/>
            </a:ext>
          </a:extLst>
        </xdr:cNvPr>
        <xdr:cNvSpPr>
          <a:spLocks noChangeShapeType="1"/>
        </xdr:cNvSpPr>
      </xdr:nvSpPr>
      <xdr:spPr>
        <a:xfrm>
          <a:off x="9486900" y="1476375"/>
          <a:ext cx="0" cy="314325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40</xdr:col>
      <xdr:colOff>304800</xdr:colOff>
      <xdr:row>9</xdr:row>
      <xdr:rowOff>9525</xdr:rowOff>
    </xdr:from>
    <xdr:to>
      <xdr:col>40</xdr:col>
      <xdr:colOff>304800</xdr:colOff>
      <xdr:row>11</xdr:row>
      <xdr:rowOff>0</xdr:rowOff>
    </xdr:to>
    <xdr:sp macro="" textlink="">
      <xdr:nvSpPr>
        <xdr:cNvPr id="2078" name="Line 30">
          <a:extLst>
            <a:ext uri="{FF2B5EF4-FFF2-40B4-BE49-F238E27FC236}">
              <a16:creationId xmlns:a16="http://schemas.microsoft.com/office/drawing/2014/main" id="{00000000-0008-0000-0100-00001E080000}"/>
            </a:ext>
          </a:extLst>
        </xdr:cNvPr>
        <xdr:cNvSpPr>
          <a:spLocks noChangeShapeType="1"/>
        </xdr:cNvSpPr>
      </xdr:nvSpPr>
      <xdr:spPr>
        <a:xfrm>
          <a:off x="8332470" y="20859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38</xdr:col>
      <xdr:colOff>304800</xdr:colOff>
      <xdr:row>10</xdr:row>
      <xdr:rowOff>9525</xdr:rowOff>
    </xdr:from>
    <xdr:to>
      <xdr:col>38</xdr:col>
      <xdr:colOff>304800</xdr:colOff>
      <xdr:row>12</xdr:row>
      <xdr:rowOff>0</xdr:rowOff>
    </xdr:to>
    <xdr:sp macro="" textlink="">
      <xdr:nvSpPr>
        <xdr:cNvPr id="2079" name="Line 31">
          <a:extLst>
            <a:ext uri="{FF2B5EF4-FFF2-40B4-BE49-F238E27FC236}">
              <a16:creationId xmlns:a16="http://schemas.microsoft.com/office/drawing/2014/main" id="{00000000-0008-0000-0100-00001F080000}"/>
            </a:ext>
          </a:extLst>
        </xdr:cNvPr>
        <xdr:cNvSpPr>
          <a:spLocks noChangeShapeType="1"/>
        </xdr:cNvSpPr>
      </xdr:nvSpPr>
      <xdr:spPr>
        <a:xfrm>
          <a:off x="7947660" y="23907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36</xdr:col>
      <xdr:colOff>304800</xdr:colOff>
      <xdr:row>11</xdr:row>
      <xdr:rowOff>9525</xdr:rowOff>
    </xdr:from>
    <xdr:to>
      <xdr:col>36</xdr:col>
      <xdr:colOff>304800</xdr:colOff>
      <xdr:row>13</xdr:row>
      <xdr:rowOff>0</xdr:rowOff>
    </xdr:to>
    <xdr:sp macro="" textlink="">
      <xdr:nvSpPr>
        <xdr:cNvPr id="2080" name="Line 32">
          <a:extLst>
            <a:ext uri="{FF2B5EF4-FFF2-40B4-BE49-F238E27FC236}">
              <a16:creationId xmlns:a16="http://schemas.microsoft.com/office/drawing/2014/main" id="{00000000-0008-0000-0100-000020080000}"/>
            </a:ext>
          </a:extLst>
        </xdr:cNvPr>
        <xdr:cNvSpPr>
          <a:spLocks noChangeShapeType="1"/>
        </xdr:cNvSpPr>
      </xdr:nvSpPr>
      <xdr:spPr>
        <a:xfrm>
          <a:off x="7562850" y="26955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34</xdr:col>
      <xdr:colOff>304800</xdr:colOff>
      <xdr:row>12</xdr:row>
      <xdr:rowOff>9525</xdr:rowOff>
    </xdr:from>
    <xdr:to>
      <xdr:col>34</xdr:col>
      <xdr:colOff>304800</xdr:colOff>
      <xdr:row>14</xdr:row>
      <xdr:rowOff>0</xdr:rowOff>
    </xdr:to>
    <xdr:sp macro="" textlink="">
      <xdr:nvSpPr>
        <xdr:cNvPr id="2081" name="Line 33">
          <a:extLst>
            <a:ext uri="{FF2B5EF4-FFF2-40B4-BE49-F238E27FC236}">
              <a16:creationId xmlns:a16="http://schemas.microsoft.com/office/drawing/2014/main" id="{00000000-0008-0000-0100-000021080000}"/>
            </a:ext>
          </a:extLst>
        </xdr:cNvPr>
        <xdr:cNvSpPr>
          <a:spLocks noChangeShapeType="1"/>
        </xdr:cNvSpPr>
      </xdr:nvSpPr>
      <xdr:spPr>
        <a:xfrm>
          <a:off x="7178040" y="30003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32</xdr:col>
      <xdr:colOff>304800</xdr:colOff>
      <xdr:row>13</xdr:row>
      <xdr:rowOff>9525</xdr:rowOff>
    </xdr:from>
    <xdr:to>
      <xdr:col>32</xdr:col>
      <xdr:colOff>304800</xdr:colOff>
      <xdr:row>15</xdr:row>
      <xdr:rowOff>0</xdr:rowOff>
    </xdr:to>
    <xdr:sp macro="" textlink="">
      <xdr:nvSpPr>
        <xdr:cNvPr id="2082" name="Line 34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SpPr>
          <a:spLocks noChangeShapeType="1"/>
        </xdr:cNvSpPr>
      </xdr:nvSpPr>
      <xdr:spPr>
        <a:xfrm>
          <a:off x="6793230" y="33051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31</xdr:col>
      <xdr:colOff>0</xdr:colOff>
      <xdr:row>14</xdr:row>
      <xdr:rowOff>9525</xdr:rowOff>
    </xdr:from>
    <xdr:to>
      <xdr:col>31</xdr:col>
      <xdr:colOff>0</xdr:colOff>
      <xdr:row>16</xdr:row>
      <xdr:rowOff>0</xdr:rowOff>
    </xdr:to>
    <xdr:sp macro="" textlink="">
      <xdr:nvSpPr>
        <xdr:cNvPr id="2083" name="Line 35">
          <a:extLst>
            <a:ext uri="{FF2B5EF4-FFF2-40B4-BE49-F238E27FC236}">
              <a16:creationId xmlns:a16="http://schemas.microsoft.com/office/drawing/2014/main" id="{00000000-0008-0000-0100-000023080000}"/>
            </a:ext>
          </a:extLst>
        </xdr:cNvPr>
        <xdr:cNvSpPr>
          <a:spLocks noChangeShapeType="1"/>
        </xdr:cNvSpPr>
      </xdr:nvSpPr>
      <xdr:spPr>
        <a:xfrm>
          <a:off x="6408420" y="36099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29</xdr:col>
      <xdr:colOff>0</xdr:colOff>
      <xdr:row>15</xdr:row>
      <xdr:rowOff>9525</xdr:rowOff>
    </xdr:from>
    <xdr:to>
      <xdr:col>29</xdr:col>
      <xdr:colOff>0</xdr:colOff>
      <xdr:row>17</xdr:row>
      <xdr:rowOff>0</xdr:rowOff>
    </xdr:to>
    <xdr:sp macro="" textlink="">
      <xdr:nvSpPr>
        <xdr:cNvPr id="2084" name="Line 36">
          <a:extLst>
            <a:ext uri="{FF2B5EF4-FFF2-40B4-BE49-F238E27FC236}">
              <a16:creationId xmlns:a16="http://schemas.microsoft.com/office/drawing/2014/main" id="{00000000-0008-0000-0100-000024080000}"/>
            </a:ext>
          </a:extLst>
        </xdr:cNvPr>
        <xdr:cNvSpPr>
          <a:spLocks noChangeShapeType="1"/>
        </xdr:cNvSpPr>
      </xdr:nvSpPr>
      <xdr:spPr>
        <a:xfrm>
          <a:off x="6023610" y="39147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27</xdr:col>
      <xdr:colOff>0</xdr:colOff>
      <xdr:row>16</xdr:row>
      <xdr:rowOff>9525</xdr:rowOff>
    </xdr:from>
    <xdr:to>
      <xdr:col>27</xdr:col>
      <xdr:colOff>0</xdr:colOff>
      <xdr:row>18</xdr:row>
      <xdr:rowOff>0</xdr:rowOff>
    </xdr:to>
    <xdr:sp macro="" textlink="">
      <xdr:nvSpPr>
        <xdr:cNvPr id="2085" name="Line 37">
          <a:extLst>
            <a:ext uri="{FF2B5EF4-FFF2-40B4-BE49-F238E27FC236}">
              <a16:creationId xmlns:a16="http://schemas.microsoft.com/office/drawing/2014/main" id="{00000000-0008-0000-0100-000025080000}"/>
            </a:ext>
          </a:extLst>
        </xdr:cNvPr>
        <xdr:cNvSpPr>
          <a:spLocks noChangeShapeType="1"/>
        </xdr:cNvSpPr>
      </xdr:nvSpPr>
      <xdr:spPr>
        <a:xfrm>
          <a:off x="5638800" y="42195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25</xdr:col>
      <xdr:colOff>0</xdr:colOff>
      <xdr:row>17</xdr:row>
      <xdr:rowOff>9525</xdr:rowOff>
    </xdr:from>
    <xdr:to>
      <xdr:col>25</xdr:col>
      <xdr:colOff>0</xdr:colOff>
      <xdr:row>19</xdr:row>
      <xdr:rowOff>0</xdr:rowOff>
    </xdr:to>
    <xdr:sp macro="" textlink="">
      <xdr:nvSpPr>
        <xdr:cNvPr id="2086" name="Line 38">
          <a:extLst>
            <a:ext uri="{FF2B5EF4-FFF2-40B4-BE49-F238E27FC236}">
              <a16:creationId xmlns:a16="http://schemas.microsoft.com/office/drawing/2014/main" id="{00000000-0008-0000-0100-000026080000}"/>
            </a:ext>
          </a:extLst>
        </xdr:cNvPr>
        <xdr:cNvSpPr>
          <a:spLocks noChangeShapeType="1"/>
        </xdr:cNvSpPr>
      </xdr:nvSpPr>
      <xdr:spPr>
        <a:xfrm>
          <a:off x="5253990" y="45243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23</xdr:col>
      <xdr:colOff>0</xdr:colOff>
      <xdr:row>18</xdr:row>
      <xdr:rowOff>9525</xdr:rowOff>
    </xdr:from>
    <xdr:to>
      <xdr:col>23</xdr:col>
      <xdr:colOff>0</xdr:colOff>
      <xdr:row>20</xdr:row>
      <xdr:rowOff>0</xdr:rowOff>
    </xdr:to>
    <xdr:sp macro="" textlink="">
      <xdr:nvSpPr>
        <xdr:cNvPr id="2087" name="Line 39">
          <a:extLst>
            <a:ext uri="{FF2B5EF4-FFF2-40B4-BE49-F238E27FC236}">
              <a16:creationId xmlns:a16="http://schemas.microsoft.com/office/drawing/2014/main" id="{00000000-0008-0000-0100-000027080000}"/>
            </a:ext>
          </a:extLst>
        </xdr:cNvPr>
        <xdr:cNvSpPr>
          <a:spLocks noChangeShapeType="1"/>
        </xdr:cNvSpPr>
      </xdr:nvSpPr>
      <xdr:spPr>
        <a:xfrm>
          <a:off x="4869180" y="48291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0</xdr:colOff>
      <xdr:row>19</xdr:row>
      <xdr:rowOff>9525</xdr:rowOff>
    </xdr:from>
    <xdr:to>
      <xdr:col>21</xdr:col>
      <xdr:colOff>0</xdr:colOff>
      <xdr:row>21</xdr:row>
      <xdr:rowOff>0</xdr:rowOff>
    </xdr:to>
    <xdr:sp macro="" textlink="">
      <xdr:nvSpPr>
        <xdr:cNvPr id="2088" name="Line 40">
          <a:extLst>
            <a:ext uri="{FF2B5EF4-FFF2-40B4-BE49-F238E27FC236}">
              <a16:creationId xmlns:a16="http://schemas.microsoft.com/office/drawing/2014/main" id="{00000000-0008-0000-0100-000028080000}"/>
            </a:ext>
          </a:extLst>
        </xdr:cNvPr>
        <xdr:cNvSpPr>
          <a:spLocks noChangeShapeType="1"/>
        </xdr:cNvSpPr>
      </xdr:nvSpPr>
      <xdr:spPr>
        <a:xfrm>
          <a:off x="4484370" y="5133975"/>
          <a:ext cx="0" cy="600075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13</xdr:col>
      <xdr:colOff>0</xdr:colOff>
      <xdr:row>7</xdr:row>
      <xdr:rowOff>0</xdr:rowOff>
    </xdr:from>
    <xdr:to>
      <xdr:col>13</xdr:col>
      <xdr:colOff>0</xdr:colOff>
      <xdr:row>21</xdr:row>
      <xdr:rowOff>171450</xdr:rowOff>
    </xdr:to>
    <xdr:sp macro="" textlink="">
      <xdr:nvSpPr>
        <xdr:cNvPr id="2089" name="Line 41">
          <a:extLst>
            <a:ext uri="{FF2B5EF4-FFF2-40B4-BE49-F238E27FC236}">
              <a16:creationId xmlns:a16="http://schemas.microsoft.com/office/drawing/2014/main" id="{00000000-0008-0000-0100-000029080000}"/>
            </a:ext>
          </a:extLst>
        </xdr:cNvPr>
        <xdr:cNvSpPr>
          <a:spLocks noChangeShapeType="1"/>
        </xdr:cNvSpPr>
      </xdr:nvSpPr>
      <xdr:spPr>
        <a:xfrm>
          <a:off x="2945130" y="1466850"/>
          <a:ext cx="0" cy="4438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</xdr:col>
      <xdr:colOff>142875</xdr:colOff>
      <xdr:row>22</xdr:row>
      <xdr:rowOff>28575</xdr:rowOff>
    </xdr:from>
    <xdr:to>
      <xdr:col>2</xdr:col>
      <xdr:colOff>142875</xdr:colOff>
      <xdr:row>22</xdr:row>
      <xdr:rowOff>228600</xdr:rowOff>
    </xdr:to>
    <xdr:sp macro="" textlink="">
      <xdr:nvSpPr>
        <xdr:cNvPr id="2090" name="Line 42">
          <a:extLst>
            <a:ext uri="{FF2B5EF4-FFF2-40B4-BE49-F238E27FC236}">
              <a16:creationId xmlns:a16="http://schemas.microsoft.com/office/drawing/2014/main" id="{00000000-0008-0000-0100-00002A080000}"/>
            </a:ext>
          </a:extLst>
        </xdr:cNvPr>
        <xdr:cNvSpPr>
          <a:spLocks noChangeShapeType="1"/>
        </xdr:cNvSpPr>
      </xdr:nvSpPr>
      <xdr:spPr>
        <a:xfrm>
          <a:off x="142875" y="6067425"/>
          <a:ext cx="0" cy="200025"/>
        </a:xfrm>
        <a:prstGeom prst="line">
          <a:avLst/>
        </a:prstGeom>
        <a:noFill/>
        <a:ln w="12700">
          <a:solidFill>
            <a:srgbClr val="000000"/>
          </a:solidFill>
          <a:round/>
          <a:tailEnd type="triangle" w="med" len="med"/>
        </a:ln>
        <a:effectLst/>
      </xdr:spPr>
    </xdr:sp>
    <xdr:clientData/>
  </xdr:twoCellAnchor>
  <xdr:twoCellAnchor>
    <xdr:from>
      <xdr:col>2</xdr:col>
      <xdr:colOff>142875</xdr:colOff>
      <xdr:row>24</xdr:row>
      <xdr:rowOff>19050</xdr:rowOff>
    </xdr:from>
    <xdr:to>
      <xdr:col>2</xdr:col>
      <xdr:colOff>142875</xdr:colOff>
      <xdr:row>24</xdr:row>
      <xdr:rowOff>228600</xdr:rowOff>
    </xdr:to>
    <xdr:sp macro="" textlink="">
      <xdr:nvSpPr>
        <xdr:cNvPr id="2091" name="Line 43">
          <a:extLst>
            <a:ext uri="{FF2B5EF4-FFF2-40B4-BE49-F238E27FC236}">
              <a16:creationId xmlns:a16="http://schemas.microsoft.com/office/drawing/2014/main" id="{00000000-0008-0000-0100-00002B080000}"/>
            </a:ext>
          </a:extLst>
        </xdr:cNvPr>
        <xdr:cNvSpPr>
          <a:spLocks noChangeShapeType="1"/>
        </xdr:cNvSpPr>
      </xdr:nvSpPr>
      <xdr:spPr>
        <a:xfrm rot="-10726868">
          <a:off x="142875" y="6438900"/>
          <a:ext cx="0" cy="209550"/>
        </a:xfrm>
        <a:prstGeom prst="line">
          <a:avLst/>
        </a:prstGeom>
        <a:noFill/>
        <a:ln w="12700">
          <a:solidFill>
            <a:srgbClr val="000000"/>
          </a:solidFill>
          <a:round/>
          <a:tailEnd type="triangle" w="med" len="med"/>
        </a:ln>
        <a:effectLst/>
      </xdr:spPr>
    </xdr:sp>
    <xdr:clientData/>
  </xdr:twoCellAnchor>
  <xdr:twoCellAnchor>
    <xdr:from>
      <xdr:col>24</xdr:col>
      <xdr:colOff>175846</xdr:colOff>
      <xdr:row>7</xdr:row>
      <xdr:rowOff>0</xdr:rowOff>
    </xdr:from>
    <xdr:to>
      <xdr:col>24</xdr:col>
      <xdr:colOff>190499</xdr:colOff>
      <xdr:row>15</xdr:row>
      <xdr:rowOff>263769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FA17B08-4E7C-469B-B76D-F8FFA4DC4CA0}"/>
            </a:ext>
          </a:extLst>
        </xdr:cNvPr>
        <xdr:cNvSpPr>
          <a:spLocks noChangeShapeType="1"/>
        </xdr:cNvSpPr>
      </xdr:nvSpPr>
      <xdr:spPr>
        <a:xfrm flipH="1">
          <a:off x="6903671" y="1466850"/>
          <a:ext cx="11478" cy="2702169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39</xdr:col>
      <xdr:colOff>9525</xdr:colOff>
      <xdr:row>20</xdr:row>
      <xdr:rowOff>0</xdr:rowOff>
    </xdr:from>
    <xdr:to>
      <xdr:col>39</xdr:col>
      <xdr:colOff>9525</xdr:colOff>
      <xdr:row>22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0783539-B815-4A16-ABE3-DCBB24E36A3A}"/>
            </a:ext>
          </a:extLst>
        </xdr:cNvPr>
        <xdr:cNvSpPr>
          <a:spLocks noChangeShapeType="1"/>
        </xdr:cNvSpPr>
      </xdr:nvSpPr>
      <xdr:spPr>
        <a:xfrm flipV="1">
          <a:off x="10102850" y="5429250"/>
          <a:ext cx="0" cy="6096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41</xdr:col>
      <xdr:colOff>0</xdr:colOff>
      <xdr:row>19</xdr:row>
      <xdr:rowOff>0</xdr:rowOff>
    </xdr:from>
    <xdr:to>
      <xdr:col>41</xdr:col>
      <xdr:colOff>0</xdr:colOff>
      <xdr:row>22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57612D47-2704-49B7-8F66-C2CD6A2EEDB3}"/>
            </a:ext>
          </a:extLst>
        </xdr:cNvPr>
        <xdr:cNvSpPr>
          <a:spLocks noChangeShapeType="1"/>
        </xdr:cNvSpPr>
      </xdr:nvSpPr>
      <xdr:spPr>
        <a:xfrm flipV="1">
          <a:off x="10591800" y="5124450"/>
          <a:ext cx="0" cy="9144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43</xdr:col>
      <xdr:colOff>0</xdr:colOff>
      <xdr:row>18</xdr:row>
      <xdr:rowOff>0</xdr:rowOff>
    </xdr:from>
    <xdr:to>
      <xdr:col>43</xdr:col>
      <xdr:colOff>0</xdr:colOff>
      <xdr:row>22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9B979FA7-A916-453D-B68C-CB68414D9EBD}"/>
            </a:ext>
          </a:extLst>
        </xdr:cNvPr>
        <xdr:cNvSpPr>
          <a:spLocks noChangeShapeType="1"/>
        </xdr:cNvSpPr>
      </xdr:nvSpPr>
      <xdr:spPr>
        <a:xfrm flipV="1">
          <a:off x="11087100" y="4819650"/>
          <a:ext cx="0" cy="12192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45</xdr:col>
      <xdr:colOff>0</xdr:colOff>
      <xdr:row>17</xdr:row>
      <xdr:rowOff>19050</xdr:rowOff>
    </xdr:from>
    <xdr:to>
      <xdr:col>45</xdr:col>
      <xdr:colOff>0</xdr:colOff>
      <xdr:row>22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75B2A359-DE17-4D75-BFBD-377627496827}"/>
            </a:ext>
          </a:extLst>
        </xdr:cNvPr>
        <xdr:cNvSpPr>
          <a:spLocks noChangeShapeType="1"/>
        </xdr:cNvSpPr>
      </xdr:nvSpPr>
      <xdr:spPr>
        <a:xfrm flipV="1">
          <a:off x="11582400" y="4533900"/>
          <a:ext cx="0" cy="15049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17</xdr:col>
      <xdr:colOff>0</xdr:colOff>
      <xdr:row>21</xdr:row>
      <xdr:rowOff>0</xdr:rowOff>
    </xdr:from>
    <xdr:to>
      <xdr:col>17</xdr:col>
      <xdr:colOff>0</xdr:colOff>
      <xdr:row>22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736AA2AE-E1A1-4312-BF7E-7AC051A6D19E}"/>
            </a:ext>
          </a:extLst>
        </xdr:cNvPr>
        <xdr:cNvSpPr>
          <a:spLocks noChangeShapeType="1"/>
        </xdr:cNvSpPr>
      </xdr:nvSpPr>
      <xdr:spPr>
        <a:xfrm flipV="1">
          <a:off x="5391150" y="5734050"/>
          <a:ext cx="0" cy="3048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37</xdr:col>
      <xdr:colOff>0</xdr:colOff>
      <xdr:row>21</xdr:row>
      <xdr:rowOff>19050</xdr:rowOff>
    </xdr:from>
    <xdr:to>
      <xdr:col>37</xdr:col>
      <xdr:colOff>0</xdr:colOff>
      <xdr:row>22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6F09441B-D3B8-4761-8510-F97F35460073}"/>
            </a:ext>
          </a:extLst>
        </xdr:cNvPr>
        <xdr:cNvSpPr>
          <a:spLocks noChangeShapeType="1"/>
        </xdr:cNvSpPr>
      </xdr:nvSpPr>
      <xdr:spPr>
        <a:xfrm flipV="1">
          <a:off x="9601200" y="5753100"/>
          <a:ext cx="0" cy="2857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42</xdr:col>
      <xdr:colOff>247650</xdr:colOff>
      <xdr:row>8</xdr:row>
      <xdr:rowOff>6350</xdr:rowOff>
    </xdr:from>
    <xdr:to>
      <xdr:col>42</xdr:col>
      <xdr:colOff>247650</xdr:colOff>
      <xdr:row>10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9B6BCD23-4E49-4EB5-967C-A81D9BB9A498}"/>
            </a:ext>
          </a:extLst>
        </xdr:cNvPr>
        <xdr:cNvSpPr>
          <a:spLocks noChangeShapeType="1"/>
        </xdr:cNvSpPr>
      </xdr:nvSpPr>
      <xdr:spPr>
        <a:xfrm>
          <a:off x="13113727" y="1786792"/>
          <a:ext cx="0" cy="609112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15</xdr:col>
      <xdr:colOff>0</xdr:colOff>
      <xdr:row>7</xdr:row>
      <xdr:rowOff>0</xdr:rowOff>
    </xdr:from>
    <xdr:to>
      <xdr:col>15</xdr:col>
      <xdr:colOff>0</xdr:colOff>
      <xdr:row>21</xdr:row>
      <xdr:rowOff>19050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1FD5B5A6-CC15-46C8-8DC8-B2E8D063D5DB}"/>
            </a:ext>
          </a:extLst>
        </xdr:cNvPr>
        <xdr:cNvSpPr>
          <a:spLocks noChangeShapeType="1"/>
        </xdr:cNvSpPr>
      </xdr:nvSpPr>
      <xdr:spPr>
        <a:xfrm>
          <a:off x="5010150" y="1466850"/>
          <a:ext cx="0" cy="42862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17</xdr:col>
      <xdr:colOff>0</xdr:colOff>
      <xdr:row>7</xdr:row>
      <xdr:rowOff>0</xdr:rowOff>
    </xdr:from>
    <xdr:to>
      <xdr:col>17</xdr:col>
      <xdr:colOff>0</xdr:colOff>
      <xdr:row>19</xdr:row>
      <xdr:rowOff>266700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408F0C8-F97D-49D2-9DD9-12D758C773B6}"/>
            </a:ext>
          </a:extLst>
        </xdr:cNvPr>
        <xdr:cNvSpPr>
          <a:spLocks noChangeShapeType="1"/>
        </xdr:cNvSpPr>
      </xdr:nvSpPr>
      <xdr:spPr>
        <a:xfrm>
          <a:off x="5391150" y="1466850"/>
          <a:ext cx="0" cy="39243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19</xdr:col>
      <xdr:colOff>0</xdr:colOff>
      <xdr:row>7</xdr:row>
      <xdr:rowOff>0</xdr:rowOff>
    </xdr:from>
    <xdr:to>
      <xdr:col>19</xdr:col>
      <xdr:colOff>0</xdr:colOff>
      <xdr:row>18</xdr:row>
      <xdr:rowOff>266700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2B0B52D8-390C-47C8-BF64-F36E5C74C096}"/>
            </a:ext>
          </a:extLst>
        </xdr:cNvPr>
        <xdr:cNvSpPr>
          <a:spLocks noChangeShapeType="1"/>
        </xdr:cNvSpPr>
      </xdr:nvSpPr>
      <xdr:spPr>
        <a:xfrm>
          <a:off x="5772150" y="1466850"/>
          <a:ext cx="0" cy="36195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0</xdr:colOff>
      <xdr:row>17</xdr:row>
      <xdr:rowOff>266700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32813E8A-2CD7-4879-A8AE-FF57EA114C7B}"/>
            </a:ext>
          </a:extLst>
        </xdr:cNvPr>
        <xdr:cNvSpPr>
          <a:spLocks noChangeShapeType="1"/>
        </xdr:cNvSpPr>
      </xdr:nvSpPr>
      <xdr:spPr>
        <a:xfrm>
          <a:off x="6153150" y="1466850"/>
          <a:ext cx="0" cy="33147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23</xdr:col>
      <xdr:colOff>0</xdr:colOff>
      <xdr:row>7</xdr:row>
      <xdr:rowOff>0</xdr:rowOff>
    </xdr:from>
    <xdr:to>
      <xdr:col>23</xdr:col>
      <xdr:colOff>0</xdr:colOff>
      <xdr:row>17</xdr:row>
      <xdr:rowOff>9525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1FA914EC-9868-4AA2-BB49-C38BD7C71656}"/>
            </a:ext>
          </a:extLst>
        </xdr:cNvPr>
        <xdr:cNvSpPr>
          <a:spLocks noChangeShapeType="1"/>
        </xdr:cNvSpPr>
      </xdr:nvSpPr>
      <xdr:spPr>
        <a:xfrm>
          <a:off x="6534150" y="1466850"/>
          <a:ext cx="0" cy="30543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27</xdr:col>
      <xdr:colOff>0</xdr:colOff>
      <xdr:row>7</xdr:row>
      <xdr:rowOff>0</xdr:rowOff>
    </xdr:from>
    <xdr:to>
      <xdr:col>27</xdr:col>
      <xdr:colOff>0</xdr:colOff>
      <xdr:row>15</xdr:row>
      <xdr:rowOff>19050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6ABC0A06-F036-4691-83B8-8AC1C6DCE8E6}"/>
            </a:ext>
          </a:extLst>
        </xdr:cNvPr>
        <xdr:cNvSpPr>
          <a:spLocks noChangeShapeType="1"/>
        </xdr:cNvSpPr>
      </xdr:nvSpPr>
      <xdr:spPr>
        <a:xfrm>
          <a:off x="7296150" y="1466850"/>
          <a:ext cx="0" cy="24574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29</xdr:col>
      <xdr:colOff>0</xdr:colOff>
      <xdr:row>7</xdr:row>
      <xdr:rowOff>0</xdr:rowOff>
    </xdr:from>
    <xdr:to>
      <xdr:col>29</xdr:col>
      <xdr:colOff>0</xdr:colOff>
      <xdr:row>14</xdr:row>
      <xdr:rowOff>9525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33B86CAD-0787-427B-B4A3-9D6DB0D35A0C}"/>
            </a:ext>
          </a:extLst>
        </xdr:cNvPr>
        <xdr:cNvSpPr>
          <a:spLocks noChangeShapeType="1"/>
        </xdr:cNvSpPr>
      </xdr:nvSpPr>
      <xdr:spPr>
        <a:xfrm>
          <a:off x="7677150" y="1466850"/>
          <a:ext cx="0" cy="21399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19</xdr:col>
      <xdr:colOff>0</xdr:colOff>
      <xdr:row>20</xdr:row>
      <xdr:rowOff>9525</xdr:rowOff>
    </xdr:from>
    <xdr:to>
      <xdr:col>19</xdr:col>
      <xdr:colOff>0</xdr:colOff>
      <xdr:row>22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E5CDAE5B-4BA6-4F53-A701-567C4B43DD4A}"/>
            </a:ext>
          </a:extLst>
        </xdr:cNvPr>
        <xdr:cNvSpPr>
          <a:spLocks noChangeShapeType="1"/>
        </xdr:cNvSpPr>
      </xdr:nvSpPr>
      <xdr:spPr>
        <a:xfrm>
          <a:off x="5772150" y="54356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37</xdr:col>
      <xdr:colOff>0</xdr:colOff>
      <xdr:row>7</xdr:row>
      <xdr:rowOff>0</xdr:rowOff>
    </xdr:from>
    <xdr:to>
      <xdr:col>37</xdr:col>
      <xdr:colOff>0</xdr:colOff>
      <xdr:row>10</xdr:row>
      <xdr:rowOff>9525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232F596-ACA5-43F8-A15F-A77EB6DC1557}"/>
            </a:ext>
          </a:extLst>
        </xdr:cNvPr>
        <xdr:cNvSpPr>
          <a:spLocks noChangeShapeType="1"/>
        </xdr:cNvSpPr>
      </xdr:nvSpPr>
      <xdr:spPr>
        <a:xfrm>
          <a:off x="9601200" y="1466850"/>
          <a:ext cx="0" cy="9207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0</xdr:colOff>
      <xdr:row>9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7BCD5E18-69A6-498F-B927-838050136C41}"/>
            </a:ext>
          </a:extLst>
        </xdr:cNvPr>
        <xdr:cNvSpPr>
          <a:spLocks noChangeShapeType="1"/>
        </xdr:cNvSpPr>
      </xdr:nvSpPr>
      <xdr:spPr>
        <a:xfrm>
          <a:off x="10096500" y="1466850"/>
          <a:ext cx="0" cy="6096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41</xdr:col>
      <xdr:colOff>0</xdr:colOff>
      <xdr:row>7</xdr:row>
      <xdr:rowOff>0</xdr:rowOff>
    </xdr:from>
    <xdr:to>
      <xdr:col>41</xdr:col>
      <xdr:colOff>0</xdr:colOff>
      <xdr:row>8</xdr:row>
      <xdr:rowOff>9525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D12CBD8A-B35F-4145-A8D4-2AF74F1CE6C0}"/>
            </a:ext>
          </a:extLst>
        </xdr:cNvPr>
        <xdr:cNvSpPr>
          <a:spLocks noChangeShapeType="1"/>
        </xdr:cNvSpPr>
      </xdr:nvSpPr>
      <xdr:spPr>
        <a:xfrm>
          <a:off x="10591800" y="1466850"/>
          <a:ext cx="0" cy="3111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13</xdr:row>
      <xdr:rowOff>19050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73E2D5E6-04CE-467C-9652-EDC01A3015AD}"/>
            </a:ext>
          </a:extLst>
        </xdr:cNvPr>
        <xdr:cNvSpPr>
          <a:spLocks noChangeShapeType="1"/>
        </xdr:cNvSpPr>
      </xdr:nvSpPr>
      <xdr:spPr>
        <a:xfrm>
          <a:off x="8115300" y="1466850"/>
          <a:ext cx="0" cy="18478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0</xdr:colOff>
      <xdr:row>11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C20081AE-4997-424E-885B-5D0A61118276}"/>
            </a:ext>
          </a:extLst>
        </xdr:cNvPr>
        <xdr:cNvSpPr>
          <a:spLocks noChangeShapeType="1"/>
        </xdr:cNvSpPr>
      </xdr:nvSpPr>
      <xdr:spPr>
        <a:xfrm>
          <a:off x="9105900" y="1466850"/>
          <a:ext cx="0" cy="12192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33</xdr:col>
      <xdr:colOff>0</xdr:colOff>
      <xdr:row>7</xdr:row>
      <xdr:rowOff>0</xdr:rowOff>
    </xdr:from>
    <xdr:to>
      <xdr:col>33</xdr:col>
      <xdr:colOff>0</xdr:colOff>
      <xdr:row>12</xdr:row>
      <xdr:rowOff>9525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639F7F19-B661-4FB7-B366-048626F7DA69}"/>
            </a:ext>
          </a:extLst>
        </xdr:cNvPr>
        <xdr:cNvSpPr>
          <a:spLocks noChangeShapeType="1"/>
        </xdr:cNvSpPr>
      </xdr:nvSpPr>
      <xdr:spPr>
        <a:xfrm>
          <a:off x="8610600" y="1466850"/>
          <a:ext cx="0" cy="15303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47</xdr:col>
      <xdr:colOff>0</xdr:colOff>
      <xdr:row>16</xdr:row>
      <xdr:rowOff>0</xdr:rowOff>
    </xdr:from>
    <xdr:to>
      <xdr:col>47</xdr:col>
      <xdr:colOff>0</xdr:colOff>
      <xdr:row>22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EFA0868F-DD32-442A-A2F4-70225B2D82D5}"/>
            </a:ext>
          </a:extLst>
        </xdr:cNvPr>
        <xdr:cNvSpPr>
          <a:spLocks noChangeShapeType="1"/>
        </xdr:cNvSpPr>
      </xdr:nvSpPr>
      <xdr:spPr>
        <a:xfrm flipV="1">
          <a:off x="12077700" y="4210050"/>
          <a:ext cx="0" cy="18288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49</xdr:col>
      <xdr:colOff>0</xdr:colOff>
      <xdr:row>14</xdr:row>
      <xdr:rowOff>285750</xdr:rowOff>
    </xdr:from>
    <xdr:to>
      <xdr:col>49</xdr:col>
      <xdr:colOff>0</xdr:colOff>
      <xdr:row>22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8EA0F79A-5848-4921-A39C-9DD1AE385574}"/>
            </a:ext>
          </a:extLst>
        </xdr:cNvPr>
        <xdr:cNvSpPr>
          <a:spLocks noChangeShapeType="1"/>
        </xdr:cNvSpPr>
      </xdr:nvSpPr>
      <xdr:spPr>
        <a:xfrm flipV="1">
          <a:off x="12573000" y="3886200"/>
          <a:ext cx="0" cy="2152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51</xdr:col>
      <xdr:colOff>0</xdr:colOff>
      <xdr:row>13</xdr:row>
      <xdr:rowOff>285750</xdr:rowOff>
    </xdr:from>
    <xdr:to>
      <xdr:col>51</xdr:col>
      <xdr:colOff>0</xdr:colOff>
      <xdr:row>22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4A12F354-4467-456B-BF23-C94A0D8E1DE4}"/>
            </a:ext>
          </a:extLst>
        </xdr:cNvPr>
        <xdr:cNvSpPr>
          <a:spLocks noChangeShapeType="1"/>
        </xdr:cNvSpPr>
      </xdr:nvSpPr>
      <xdr:spPr>
        <a:xfrm flipV="1">
          <a:off x="13068300" y="3581400"/>
          <a:ext cx="0" cy="24574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53</xdr:col>
      <xdr:colOff>0</xdr:colOff>
      <xdr:row>12</xdr:row>
      <xdr:rowOff>276225</xdr:rowOff>
    </xdr:from>
    <xdr:to>
      <xdr:col>53</xdr:col>
      <xdr:colOff>0</xdr:colOff>
      <xdr:row>22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D37DC144-E836-449A-9497-CFABFC163F96}"/>
            </a:ext>
          </a:extLst>
        </xdr:cNvPr>
        <xdr:cNvSpPr>
          <a:spLocks noChangeShapeType="1"/>
        </xdr:cNvSpPr>
      </xdr:nvSpPr>
      <xdr:spPr>
        <a:xfrm flipV="1">
          <a:off x="13563600" y="3263900"/>
          <a:ext cx="0" cy="27749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55</xdr:col>
      <xdr:colOff>0</xdr:colOff>
      <xdr:row>11</xdr:row>
      <xdr:rowOff>285750</xdr:rowOff>
    </xdr:from>
    <xdr:to>
      <xdr:col>55</xdr:col>
      <xdr:colOff>0</xdr:colOff>
      <xdr:row>22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FB0DB0CA-136A-4BCF-834D-797D42D63F19}"/>
            </a:ext>
          </a:extLst>
        </xdr:cNvPr>
        <xdr:cNvSpPr>
          <a:spLocks noChangeShapeType="1"/>
        </xdr:cNvSpPr>
      </xdr:nvSpPr>
      <xdr:spPr>
        <a:xfrm flipV="1">
          <a:off x="14058900" y="2971800"/>
          <a:ext cx="0" cy="30670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45</xdr:col>
      <xdr:colOff>0</xdr:colOff>
      <xdr:row>7</xdr:row>
      <xdr:rowOff>9525</xdr:rowOff>
    </xdr:from>
    <xdr:to>
      <xdr:col>45</xdr:col>
      <xdr:colOff>0</xdr:colOff>
      <xdr:row>8</xdr:row>
      <xdr:rowOff>276225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8999E0DC-D8C1-4E47-B076-1FA6433C4512}"/>
            </a:ext>
          </a:extLst>
        </xdr:cNvPr>
        <xdr:cNvSpPr>
          <a:spLocks noChangeShapeType="1"/>
        </xdr:cNvSpPr>
      </xdr:nvSpPr>
      <xdr:spPr>
        <a:xfrm>
          <a:off x="11582400" y="1473200"/>
          <a:ext cx="0" cy="5715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47</xdr:col>
      <xdr:colOff>0</xdr:colOff>
      <xdr:row>7</xdr:row>
      <xdr:rowOff>9525</xdr:rowOff>
    </xdr:from>
    <xdr:to>
      <xdr:col>47</xdr:col>
      <xdr:colOff>0</xdr:colOff>
      <xdr:row>8</xdr:row>
      <xdr:rowOff>19050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7F35E330-88D9-42FF-9686-477E3633A6E8}"/>
            </a:ext>
          </a:extLst>
        </xdr:cNvPr>
        <xdr:cNvSpPr>
          <a:spLocks noChangeShapeType="1"/>
        </xdr:cNvSpPr>
      </xdr:nvSpPr>
      <xdr:spPr>
        <a:xfrm>
          <a:off x="12077700" y="1473200"/>
          <a:ext cx="0" cy="31750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  <xdr:twoCellAnchor>
    <xdr:from>
      <xdr:col>40</xdr:col>
      <xdr:colOff>304800</xdr:colOff>
      <xdr:row>9</xdr:row>
      <xdr:rowOff>9525</xdr:rowOff>
    </xdr:from>
    <xdr:to>
      <xdr:col>40</xdr:col>
      <xdr:colOff>304800</xdr:colOff>
      <xdr:row>11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153D3DE9-816A-4595-912C-E2FE71D7F9E0}"/>
            </a:ext>
          </a:extLst>
        </xdr:cNvPr>
        <xdr:cNvSpPr>
          <a:spLocks noChangeShapeType="1"/>
        </xdr:cNvSpPr>
      </xdr:nvSpPr>
      <xdr:spPr>
        <a:xfrm>
          <a:off x="10591800" y="20828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38</xdr:col>
      <xdr:colOff>304800</xdr:colOff>
      <xdr:row>10</xdr:row>
      <xdr:rowOff>9525</xdr:rowOff>
    </xdr:from>
    <xdr:to>
      <xdr:col>38</xdr:col>
      <xdr:colOff>304800</xdr:colOff>
      <xdr:row>12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9EC562DF-5E5D-4E2E-B4ED-14C250FE53E2}"/>
            </a:ext>
          </a:extLst>
        </xdr:cNvPr>
        <xdr:cNvSpPr>
          <a:spLocks noChangeShapeType="1"/>
        </xdr:cNvSpPr>
      </xdr:nvSpPr>
      <xdr:spPr>
        <a:xfrm>
          <a:off x="10096500" y="23876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36</xdr:col>
      <xdr:colOff>304800</xdr:colOff>
      <xdr:row>11</xdr:row>
      <xdr:rowOff>9525</xdr:rowOff>
    </xdr:from>
    <xdr:to>
      <xdr:col>36</xdr:col>
      <xdr:colOff>304800</xdr:colOff>
      <xdr:row>13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21B5B99E-FDF2-4AB2-97DD-5A3C9AB1FC9B}"/>
            </a:ext>
          </a:extLst>
        </xdr:cNvPr>
        <xdr:cNvSpPr>
          <a:spLocks noChangeShapeType="1"/>
        </xdr:cNvSpPr>
      </xdr:nvSpPr>
      <xdr:spPr>
        <a:xfrm>
          <a:off x="9601200" y="26924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34</xdr:col>
      <xdr:colOff>304800</xdr:colOff>
      <xdr:row>12</xdr:row>
      <xdr:rowOff>9525</xdr:rowOff>
    </xdr:from>
    <xdr:to>
      <xdr:col>34</xdr:col>
      <xdr:colOff>304800</xdr:colOff>
      <xdr:row>14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5D75883-8D01-460F-8D4F-A0AE9DD5FA96}"/>
            </a:ext>
          </a:extLst>
        </xdr:cNvPr>
        <xdr:cNvSpPr>
          <a:spLocks noChangeShapeType="1"/>
        </xdr:cNvSpPr>
      </xdr:nvSpPr>
      <xdr:spPr>
        <a:xfrm>
          <a:off x="9105900" y="29972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32</xdr:col>
      <xdr:colOff>304800</xdr:colOff>
      <xdr:row>13</xdr:row>
      <xdr:rowOff>9525</xdr:rowOff>
    </xdr:from>
    <xdr:to>
      <xdr:col>32</xdr:col>
      <xdr:colOff>304800</xdr:colOff>
      <xdr:row>15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7CB2ECE-A894-4DB5-8B02-78177DF2FDB2}"/>
            </a:ext>
          </a:extLst>
        </xdr:cNvPr>
        <xdr:cNvSpPr>
          <a:spLocks noChangeShapeType="1"/>
        </xdr:cNvSpPr>
      </xdr:nvSpPr>
      <xdr:spPr>
        <a:xfrm>
          <a:off x="8610600" y="33020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31</xdr:col>
      <xdr:colOff>0</xdr:colOff>
      <xdr:row>14</xdr:row>
      <xdr:rowOff>9525</xdr:rowOff>
    </xdr:from>
    <xdr:to>
      <xdr:col>31</xdr:col>
      <xdr:colOff>0</xdr:colOff>
      <xdr:row>16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4DD36F85-926F-4AB6-8E3A-0E5EA14F1C9D}"/>
            </a:ext>
          </a:extLst>
        </xdr:cNvPr>
        <xdr:cNvSpPr>
          <a:spLocks noChangeShapeType="1"/>
        </xdr:cNvSpPr>
      </xdr:nvSpPr>
      <xdr:spPr>
        <a:xfrm>
          <a:off x="8115300" y="36068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29</xdr:col>
      <xdr:colOff>0</xdr:colOff>
      <xdr:row>15</xdr:row>
      <xdr:rowOff>9525</xdr:rowOff>
    </xdr:from>
    <xdr:to>
      <xdr:col>29</xdr:col>
      <xdr:colOff>0</xdr:colOff>
      <xdr:row>17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276E1851-4B7D-459A-8010-3BF03B8DD0C4}"/>
            </a:ext>
          </a:extLst>
        </xdr:cNvPr>
        <xdr:cNvSpPr>
          <a:spLocks noChangeShapeType="1"/>
        </xdr:cNvSpPr>
      </xdr:nvSpPr>
      <xdr:spPr>
        <a:xfrm>
          <a:off x="7677150" y="39116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27</xdr:col>
      <xdr:colOff>0</xdr:colOff>
      <xdr:row>16</xdr:row>
      <xdr:rowOff>9525</xdr:rowOff>
    </xdr:from>
    <xdr:to>
      <xdr:col>27</xdr:col>
      <xdr:colOff>0</xdr:colOff>
      <xdr:row>18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8E852D2B-C8A6-4288-B4B1-139D9E5F1556}"/>
            </a:ext>
          </a:extLst>
        </xdr:cNvPr>
        <xdr:cNvSpPr>
          <a:spLocks noChangeShapeType="1"/>
        </xdr:cNvSpPr>
      </xdr:nvSpPr>
      <xdr:spPr>
        <a:xfrm>
          <a:off x="7296150" y="42164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25</xdr:col>
      <xdr:colOff>0</xdr:colOff>
      <xdr:row>17</xdr:row>
      <xdr:rowOff>9525</xdr:rowOff>
    </xdr:from>
    <xdr:to>
      <xdr:col>25</xdr:col>
      <xdr:colOff>0</xdr:colOff>
      <xdr:row>19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A3B30845-9682-410A-A760-E55E6C29BC52}"/>
            </a:ext>
          </a:extLst>
        </xdr:cNvPr>
        <xdr:cNvSpPr>
          <a:spLocks noChangeShapeType="1"/>
        </xdr:cNvSpPr>
      </xdr:nvSpPr>
      <xdr:spPr>
        <a:xfrm>
          <a:off x="6915150" y="45212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23</xdr:col>
      <xdr:colOff>0</xdr:colOff>
      <xdr:row>18</xdr:row>
      <xdr:rowOff>9525</xdr:rowOff>
    </xdr:from>
    <xdr:to>
      <xdr:col>23</xdr:col>
      <xdr:colOff>0</xdr:colOff>
      <xdr:row>20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84A23309-5E4D-4263-890A-9143AFBA75C8}"/>
            </a:ext>
          </a:extLst>
        </xdr:cNvPr>
        <xdr:cNvSpPr>
          <a:spLocks noChangeShapeType="1"/>
        </xdr:cNvSpPr>
      </xdr:nvSpPr>
      <xdr:spPr>
        <a:xfrm>
          <a:off x="6534150" y="48260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0</xdr:colOff>
      <xdr:row>19</xdr:row>
      <xdr:rowOff>9525</xdr:rowOff>
    </xdr:from>
    <xdr:to>
      <xdr:col>21</xdr:col>
      <xdr:colOff>0</xdr:colOff>
      <xdr:row>21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257B7412-7373-498B-B560-236904650F56}"/>
            </a:ext>
          </a:extLst>
        </xdr:cNvPr>
        <xdr:cNvSpPr>
          <a:spLocks noChangeShapeType="1"/>
        </xdr:cNvSpPr>
      </xdr:nvSpPr>
      <xdr:spPr>
        <a:xfrm>
          <a:off x="6153150" y="5130800"/>
          <a:ext cx="0" cy="603250"/>
        </a:xfrm>
        <a:prstGeom prst="line">
          <a:avLst/>
        </a:prstGeom>
        <a:noFill/>
        <a:ln w="19050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13</xdr:col>
      <xdr:colOff>0</xdr:colOff>
      <xdr:row>7</xdr:row>
      <xdr:rowOff>0</xdr:rowOff>
    </xdr:from>
    <xdr:to>
      <xdr:col>13</xdr:col>
      <xdr:colOff>0</xdr:colOff>
      <xdr:row>21</xdr:row>
      <xdr:rowOff>171450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26D3C774-BAC7-4DFF-8A9E-A2059605B2B0}"/>
            </a:ext>
          </a:extLst>
        </xdr:cNvPr>
        <xdr:cNvSpPr>
          <a:spLocks noChangeShapeType="1"/>
        </xdr:cNvSpPr>
      </xdr:nvSpPr>
      <xdr:spPr>
        <a:xfrm>
          <a:off x="4629150" y="1466850"/>
          <a:ext cx="0" cy="4438650"/>
        </a:xfrm>
        <a:prstGeom prst="line">
          <a:avLst/>
        </a:prstGeom>
        <a:noFill/>
        <a:ln w="19050">
          <a:solidFill>
            <a:srgbClr val="000000"/>
          </a:solidFill>
          <a:rou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42</xdr:row>
      <xdr:rowOff>57150</xdr:rowOff>
    </xdr:from>
    <xdr:to>
      <xdr:col>8</xdr:col>
      <xdr:colOff>219075</xdr:colOff>
      <xdr:row>48</xdr:row>
      <xdr:rowOff>76200</xdr:rowOff>
    </xdr:to>
    <xdr:pic>
      <xdr:nvPicPr>
        <xdr:cNvPr id="3073" name="Picture 1" descr="未命名4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00025" y="7658100"/>
          <a:ext cx="5505450" cy="11049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542925</xdr:colOff>
      <xdr:row>0</xdr:row>
      <xdr:rowOff>0</xdr:rowOff>
    </xdr:from>
    <xdr:to>
      <xdr:col>9</xdr:col>
      <xdr:colOff>142875</xdr:colOff>
      <xdr:row>8</xdr:row>
      <xdr:rowOff>85725</xdr:rowOff>
    </xdr:to>
    <xdr:pic>
      <xdr:nvPicPr>
        <xdr:cNvPr id="3074" name="Picture 2" descr="未命名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1228725" y="0"/>
          <a:ext cx="5086350" cy="1533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523875</xdr:colOff>
      <xdr:row>8</xdr:row>
      <xdr:rowOff>95250</xdr:rowOff>
    </xdr:from>
    <xdr:to>
      <xdr:col>9</xdr:col>
      <xdr:colOff>161925</xdr:colOff>
      <xdr:row>15</xdr:row>
      <xdr:rowOff>123825</xdr:rowOff>
    </xdr:to>
    <xdr:pic>
      <xdr:nvPicPr>
        <xdr:cNvPr id="3075" name="Picture 3" descr="未命名1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1209675" y="1543050"/>
          <a:ext cx="5124450" cy="1295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171450</xdr:colOff>
      <xdr:row>16</xdr:row>
      <xdr:rowOff>9525</xdr:rowOff>
    </xdr:from>
    <xdr:to>
      <xdr:col>15</xdr:col>
      <xdr:colOff>133350</xdr:colOff>
      <xdr:row>42</xdr:row>
      <xdr:rowOff>28575</xdr:rowOff>
    </xdr:to>
    <xdr:pic>
      <xdr:nvPicPr>
        <xdr:cNvPr id="3076" name="Picture 4" descr="未命名2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>
        <a:xfrm>
          <a:off x="171450" y="2905125"/>
          <a:ext cx="10248900" cy="4724400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0</xdr:colOff>
      <xdr:row>2</xdr:row>
      <xdr:rowOff>0</xdr:rowOff>
    </xdr:from>
    <xdr:to>
      <xdr:col>16</xdr:col>
      <xdr:colOff>257175</xdr:colOff>
      <xdr:row>3</xdr:row>
      <xdr:rowOff>123825</xdr:rowOff>
    </xdr:to>
    <xdr:pic>
      <xdr:nvPicPr>
        <xdr:cNvPr id="3077" name="Picture 5" descr="49EA]M`WLA$Q3)6M7`{V`5L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>
        <a:xfrm>
          <a:off x="6858000" y="361950"/>
          <a:ext cx="4371975" cy="3048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25"/>
  <sheetViews>
    <sheetView topLeftCell="B1" workbookViewId="0">
      <selection activeCell="H18" sqref="H18"/>
    </sheetView>
  </sheetViews>
  <sheetFormatPr defaultColWidth="9" defaultRowHeight="15" x14ac:dyDescent="0.25"/>
  <cols>
    <col min="1" max="1" width="10.83203125" customWidth="1"/>
    <col min="2" max="7" width="2.25" customWidth="1"/>
    <col min="8" max="8" width="2.5" customWidth="1"/>
    <col min="9" max="9" width="3.75" customWidth="1"/>
    <col min="10" max="53" width="2.25" customWidth="1"/>
  </cols>
  <sheetData>
    <row r="1" spans="1:53" ht="30.75" customHeight="1" x14ac:dyDescent="0.6">
      <c r="A1" s="55" t="s">
        <v>0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</row>
    <row r="2" spans="1:53" ht="24.75" customHeight="1" x14ac:dyDescent="0.25">
      <c r="A2" s="73" t="s">
        <v>1</v>
      </c>
      <c r="B2" s="58" t="s">
        <v>2</v>
      </c>
      <c r="C2" s="59"/>
      <c r="D2" s="59"/>
      <c r="E2" s="60" t="s">
        <v>3</v>
      </c>
      <c r="F2" s="59"/>
      <c r="G2" s="61"/>
      <c r="H2" s="79" t="s">
        <v>4</v>
      </c>
      <c r="I2" s="82" t="s">
        <v>5</v>
      </c>
      <c r="J2" s="62" t="s">
        <v>6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4"/>
    </row>
    <row r="3" spans="1:53" ht="24.75" customHeight="1" x14ac:dyDescent="0.25">
      <c r="A3" s="74"/>
      <c r="B3" s="76" t="s">
        <v>7</v>
      </c>
      <c r="C3" s="77" t="s">
        <v>8</v>
      </c>
      <c r="D3" s="77" t="s">
        <v>9</v>
      </c>
      <c r="E3" s="65" t="s">
        <v>10</v>
      </c>
      <c r="F3" s="65" t="s">
        <v>11</v>
      </c>
      <c r="G3" s="78" t="s">
        <v>12</v>
      </c>
      <c r="H3" s="80"/>
      <c r="I3" s="83"/>
      <c r="J3" s="65">
        <v>0</v>
      </c>
      <c r="K3" s="66"/>
      <c r="L3" s="65">
        <v>0.01</v>
      </c>
      <c r="M3" s="66"/>
      <c r="N3" s="67" t="s">
        <v>13</v>
      </c>
      <c r="O3" s="66"/>
      <c r="P3" s="67" t="s">
        <v>14</v>
      </c>
      <c r="Q3" s="66"/>
      <c r="R3" s="65">
        <v>0.04</v>
      </c>
      <c r="S3" s="65"/>
      <c r="T3" s="65">
        <v>6.5000000000000002E-2</v>
      </c>
      <c r="U3" s="65"/>
      <c r="V3" s="65">
        <v>0.1</v>
      </c>
      <c r="W3" s="65"/>
      <c r="X3" s="65">
        <v>0.15</v>
      </c>
      <c r="Y3" s="65"/>
      <c r="Z3" s="65">
        <v>0.25</v>
      </c>
      <c r="AA3" s="65"/>
      <c r="AB3" s="65">
        <v>0.4</v>
      </c>
      <c r="AC3" s="65"/>
      <c r="AD3" s="65">
        <v>0.65</v>
      </c>
      <c r="AE3" s="65"/>
      <c r="AF3" s="68">
        <v>1</v>
      </c>
      <c r="AG3" s="68"/>
      <c r="AH3" s="65">
        <v>1.5</v>
      </c>
      <c r="AI3" s="65"/>
      <c r="AJ3" s="65">
        <v>2.5</v>
      </c>
      <c r="AK3" s="65"/>
      <c r="AL3" s="68">
        <v>4</v>
      </c>
      <c r="AM3" s="68"/>
      <c r="AN3" s="65">
        <v>6.5</v>
      </c>
      <c r="AO3" s="66"/>
      <c r="AP3" s="65">
        <v>10</v>
      </c>
      <c r="AQ3" s="66"/>
      <c r="AR3" s="65">
        <v>15</v>
      </c>
      <c r="AS3" s="66"/>
      <c r="AT3" s="65">
        <v>25</v>
      </c>
      <c r="AU3" s="66"/>
      <c r="AV3" s="65">
        <v>40</v>
      </c>
      <c r="AW3" s="66"/>
      <c r="AX3" s="65">
        <v>65</v>
      </c>
      <c r="AY3" s="66"/>
      <c r="AZ3" s="65">
        <v>100</v>
      </c>
      <c r="BA3" s="65"/>
    </row>
    <row r="4" spans="1:53" ht="24.75" customHeight="1" x14ac:dyDescent="0.25">
      <c r="A4" s="75"/>
      <c r="B4" s="76"/>
      <c r="C4" s="77"/>
      <c r="D4" s="77"/>
      <c r="E4" s="65"/>
      <c r="F4" s="65"/>
      <c r="G4" s="78"/>
      <c r="H4" s="81"/>
      <c r="I4" s="84"/>
      <c r="J4" s="31" t="s">
        <v>15</v>
      </c>
      <c r="K4" s="31" t="s">
        <v>16</v>
      </c>
      <c r="L4" s="31" t="s">
        <v>15</v>
      </c>
      <c r="M4" s="31" t="s">
        <v>16</v>
      </c>
      <c r="N4" s="31" t="s">
        <v>15</v>
      </c>
      <c r="O4" s="31" t="s">
        <v>16</v>
      </c>
      <c r="P4" s="31" t="s">
        <v>15</v>
      </c>
      <c r="Q4" s="31" t="s">
        <v>16</v>
      </c>
      <c r="R4" s="31" t="s">
        <v>15</v>
      </c>
      <c r="S4" s="31" t="s">
        <v>16</v>
      </c>
      <c r="T4" s="31" t="s">
        <v>15</v>
      </c>
      <c r="U4" s="31" t="s">
        <v>16</v>
      </c>
      <c r="V4" s="31" t="s">
        <v>15</v>
      </c>
      <c r="W4" s="31" t="s">
        <v>16</v>
      </c>
      <c r="X4" s="31" t="s">
        <v>15</v>
      </c>
      <c r="Y4" s="31" t="s">
        <v>16</v>
      </c>
      <c r="Z4" s="31" t="s">
        <v>15</v>
      </c>
      <c r="AA4" s="31" t="s">
        <v>16</v>
      </c>
      <c r="AB4" s="31" t="s">
        <v>15</v>
      </c>
      <c r="AC4" s="31" t="s">
        <v>16</v>
      </c>
      <c r="AD4" s="31" t="s">
        <v>15</v>
      </c>
      <c r="AE4" s="31" t="s">
        <v>16</v>
      </c>
      <c r="AF4" s="31" t="s">
        <v>15</v>
      </c>
      <c r="AG4" s="31" t="s">
        <v>16</v>
      </c>
      <c r="AH4" s="31" t="s">
        <v>15</v>
      </c>
      <c r="AI4" s="31" t="s">
        <v>16</v>
      </c>
      <c r="AJ4" s="31" t="s">
        <v>15</v>
      </c>
      <c r="AK4" s="31" t="s">
        <v>16</v>
      </c>
      <c r="AL4" s="31" t="s">
        <v>15</v>
      </c>
      <c r="AM4" s="31" t="s">
        <v>16</v>
      </c>
      <c r="AN4" s="31" t="s">
        <v>15</v>
      </c>
      <c r="AO4" s="31" t="s">
        <v>16</v>
      </c>
      <c r="AP4" s="31" t="s">
        <v>15</v>
      </c>
      <c r="AQ4" s="31" t="s">
        <v>16</v>
      </c>
      <c r="AR4" s="31" t="s">
        <v>15</v>
      </c>
      <c r="AS4" s="31" t="s">
        <v>16</v>
      </c>
      <c r="AT4" s="31" t="s">
        <v>15</v>
      </c>
      <c r="AU4" s="31" t="s">
        <v>16</v>
      </c>
      <c r="AV4" s="31" t="s">
        <v>15</v>
      </c>
      <c r="AW4" s="31" t="s">
        <v>16</v>
      </c>
      <c r="AX4" s="31" t="s">
        <v>15</v>
      </c>
      <c r="AY4" s="31" t="s">
        <v>16</v>
      </c>
      <c r="AZ4" s="31" t="s">
        <v>15</v>
      </c>
      <c r="BA4" s="31" t="s">
        <v>16</v>
      </c>
    </row>
    <row r="5" spans="1:53" ht="24.75" customHeight="1" x14ac:dyDescent="0.25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7" t="s">
        <v>19</v>
      </c>
      <c r="H5" s="18" t="s">
        <v>18</v>
      </c>
      <c r="I5" s="32">
        <v>2</v>
      </c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3" t="s">
        <v>20</v>
      </c>
      <c r="W5" s="32"/>
      <c r="X5" s="32"/>
      <c r="Y5" s="32"/>
      <c r="Z5" s="32"/>
      <c r="AA5" s="32"/>
      <c r="AB5" s="42"/>
      <c r="AC5" s="4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4">
        <v>0</v>
      </c>
      <c r="AO5" s="36">
        <v>1</v>
      </c>
      <c r="AP5" s="32"/>
      <c r="AQ5" s="32"/>
      <c r="AR5" s="32"/>
      <c r="AS5" s="32"/>
      <c r="AT5" s="32">
        <v>1</v>
      </c>
      <c r="AU5" s="32">
        <v>2</v>
      </c>
      <c r="AV5" s="32">
        <v>2</v>
      </c>
      <c r="AW5" s="32">
        <v>3</v>
      </c>
      <c r="AX5" s="32">
        <v>3</v>
      </c>
      <c r="AY5" s="32">
        <v>4</v>
      </c>
      <c r="AZ5" s="32">
        <v>5</v>
      </c>
      <c r="BA5" s="32">
        <v>6</v>
      </c>
    </row>
    <row r="6" spans="1:53" ht="24.75" customHeight="1" x14ac:dyDescent="0.25">
      <c r="A6" s="19" t="s">
        <v>21</v>
      </c>
      <c r="B6" s="20" t="s">
        <v>18</v>
      </c>
      <c r="C6" s="21" t="s">
        <v>18</v>
      </c>
      <c r="D6" s="21" t="s">
        <v>18</v>
      </c>
      <c r="E6" s="21" t="s">
        <v>18</v>
      </c>
      <c r="F6" s="13" t="s">
        <v>19</v>
      </c>
      <c r="G6" s="22" t="s">
        <v>22</v>
      </c>
      <c r="H6" s="18" t="s">
        <v>19</v>
      </c>
      <c r="I6" s="32">
        <v>3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42"/>
      <c r="AC6" s="42"/>
      <c r="AD6" s="32"/>
      <c r="AE6" s="32"/>
      <c r="AF6" s="32"/>
      <c r="AG6" s="32"/>
      <c r="AH6" s="32"/>
      <c r="AI6" s="32"/>
      <c r="AJ6" s="32"/>
      <c r="AK6" s="32"/>
      <c r="AL6" s="34">
        <v>0</v>
      </c>
      <c r="AM6" s="36">
        <v>1</v>
      </c>
      <c r="AN6" s="32"/>
      <c r="AO6" s="32"/>
      <c r="AP6" s="32"/>
      <c r="AQ6" s="32"/>
      <c r="AR6" s="32">
        <v>1</v>
      </c>
      <c r="AS6" s="32">
        <v>2</v>
      </c>
      <c r="AT6" s="32">
        <v>2</v>
      </c>
      <c r="AU6" s="32">
        <v>3</v>
      </c>
      <c r="AV6" s="32">
        <v>3</v>
      </c>
      <c r="AW6" s="32">
        <v>4</v>
      </c>
      <c r="AX6" s="32">
        <v>5</v>
      </c>
      <c r="AY6" s="32">
        <v>6</v>
      </c>
      <c r="AZ6" s="32">
        <v>7</v>
      </c>
      <c r="BA6" s="32">
        <v>8</v>
      </c>
    </row>
    <row r="7" spans="1:53" ht="24.75" customHeight="1" x14ac:dyDescent="0.25">
      <c r="A7" s="19" t="s">
        <v>23</v>
      </c>
      <c r="B7" s="20" t="s">
        <v>18</v>
      </c>
      <c r="C7" s="21" t="s">
        <v>18</v>
      </c>
      <c r="D7" s="13" t="s">
        <v>19</v>
      </c>
      <c r="E7" s="13" t="s">
        <v>19</v>
      </c>
      <c r="F7" s="13" t="s">
        <v>22</v>
      </c>
      <c r="G7" s="22" t="s">
        <v>24</v>
      </c>
      <c r="H7" s="18" t="s">
        <v>22</v>
      </c>
      <c r="I7" s="32">
        <v>5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42"/>
      <c r="AC7" s="42"/>
      <c r="AD7" s="32"/>
      <c r="AE7" s="32"/>
      <c r="AF7" s="32"/>
      <c r="AG7" s="32"/>
      <c r="AH7" s="32"/>
      <c r="AI7" s="32"/>
      <c r="AJ7" s="34">
        <v>0</v>
      </c>
      <c r="AK7" s="36">
        <v>1</v>
      </c>
      <c r="AL7" s="32"/>
      <c r="AM7" s="32"/>
      <c r="AN7" s="32"/>
      <c r="AO7" s="32"/>
      <c r="AP7" s="32">
        <v>1</v>
      </c>
      <c r="AQ7" s="32">
        <v>2</v>
      </c>
      <c r="AR7" s="32">
        <v>2</v>
      </c>
      <c r="AS7" s="32">
        <v>3</v>
      </c>
      <c r="AT7" s="32">
        <v>3</v>
      </c>
      <c r="AU7" s="32">
        <v>4</v>
      </c>
      <c r="AV7" s="32">
        <v>5</v>
      </c>
      <c r="AW7" s="32">
        <v>6</v>
      </c>
      <c r="AX7" s="32">
        <v>7</v>
      </c>
      <c r="AY7" s="32">
        <v>8</v>
      </c>
      <c r="AZ7" s="32">
        <v>10</v>
      </c>
      <c r="BA7" s="32">
        <v>11</v>
      </c>
    </row>
    <row r="8" spans="1:53" ht="24.75" customHeight="1" x14ac:dyDescent="0.25">
      <c r="A8" s="19" t="s">
        <v>25</v>
      </c>
      <c r="B8" s="20" t="s">
        <v>18</v>
      </c>
      <c r="C8" s="13" t="s">
        <v>19</v>
      </c>
      <c r="D8" s="13" t="s">
        <v>19</v>
      </c>
      <c r="E8" s="13" t="s">
        <v>22</v>
      </c>
      <c r="F8" s="13" t="s">
        <v>24</v>
      </c>
      <c r="G8" s="22" t="s">
        <v>26</v>
      </c>
      <c r="H8" s="18" t="s">
        <v>24</v>
      </c>
      <c r="I8" s="32">
        <v>8</v>
      </c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42"/>
      <c r="AC8" s="42"/>
      <c r="AD8" s="32"/>
      <c r="AE8" s="32"/>
      <c r="AF8" s="32"/>
      <c r="AG8" s="32"/>
      <c r="AH8" s="34">
        <v>0</v>
      </c>
      <c r="AI8" s="36">
        <v>1</v>
      </c>
      <c r="AJ8" s="32"/>
      <c r="AK8" s="32"/>
      <c r="AL8" s="32"/>
      <c r="AM8" s="32"/>
      <c r="AN8" s="32">
        <v>1</v>
      </c>
      <c r="AO8" s="32">
        <v>2</v>
      </c>
      <c r="AP8" s="32">
        <v>3</v>
      </c>
      <c r="AQ8" s="32">
        <v>4</v>
      </c>
      <c r="AR8" s="32">
        <v>3</v>
      </c>
      <c r="AS8" s="32">
        <v>4</v>
      </c>
      <c r="AT8" s="32">
        <v>5</v>
      </c>
      <c r="AU8" s="32">
        <v>6</v>
      </c>
      <c r="AV8" s="32">
        <v>7</v>
      </c>
      <c r="AW8" s="32">
        <v>8</v>
      </c>
      <c r="AX8" s="32">
        <v>10</v>
      </c>
      <c r="AY8" s="32">
        <v>11</v>
      </c>
      <c r="AZ8" s="32">
        <v>14</v>
      </c>
      <c r="BA8" s="32">
        <v>15</v>
      </c>
    </row>
    <row r="9" spans="1:53" ht="24.75" customHeight="1" x14ac:dyDescent="0.25">
      <c r="A9" s="19" t="s">
        <v>27</v>
      </c>
      <c r="B9" s="12" t="s">
        <v>19</v>
      </c>
      <c r="C9" s="13" t="s">
        <v>19</v>
      </c>
      <c r="D9" s="13" t="s">
        <v>22</v>
      </c>
      <c r="E9" s="13" t="s">
        <v>22</v>
      </c>
      <c r="F9" s="13" t="s">
        <v>26</v>
      </c>
      <c r="G9" s="22" t="s">
        <v>28</v>
      </c>
      <c r="H9" s="18" t="s">
        <v>26</v>
      </c>
      <c r="I9" s="32">
        <v>13</v>
      </c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42"/>
      <c r="AC9" s="42"/>
      <c r="AD9" s="32"/>
      <c r="AE9" s="32"/>
      <c r="AF9" s="34">
        <v>0</v>
      </c>
      <c r="AG9" s="36">
        <v>1</v>
      </c>
      <c r="AH9" s="32"/>
      <c r="AI9" s="32"/>
      <c r="AJ9" s="32"/>
      <c r="AK9" s="32"/>
      <c r="AL9" s="32">
        <v>1</v>
      </c>
      <c r="AM9" s="32">
        <v>2</v>
      </c>
      <c r="AN9" s="32">
        <v>2</v>
      </c>
      <c r="AO9" s="32">
        <v>3</v>
      </c>
      <c r="AP9" s="32">
        <v>3</v>
      </c>
      <c r="AQ9" s="32">
        <v>4</v>
      </c>
      <c r="AR9" s="32">
        <v>5</v>
      </c>
      <c r="AS9" s="32">
        <v>6</v>
      </c>
      <c r="AT9" s="32">
        <v>7</v>
      </c>
      <c r="AU9" s="32">
        <v>8</v>
      </c>
      <c r="AV9" s="32">
        <v>10</v>
      </c>
      <c r="AW9" s="32">
        <v>11</v>
      </c>
      <c r="AX9" s="32">
        <v>14</v>
      </c>
      <c r="AY9" s="32">
        <v>15</v>
      </c>
      <c r="AZ9" s="32">
        <v>21</v>
      </c>
      <c r="BA9" s="32">
        <v>22</v>
      </c>
    </row>
    <row r="10" spans="1:53" ht="24.75" customHeight="1" x14ac:dyDescent="0.25">
      <c r="A10" s="19" t="s">
        <v>29</v>
      </c>
      <c r="B10" s="12" t="s">
        <v>19</v>
      </c>
      <c r="C10" s="13" t="s">
        <v>19</v>
      </c>
      <c r="D10" s="13" t="s">
        <v>22</v>
      </c>
      <c r="E10" s="13" t="s">
        <v>24</v>
      </c>
      <c r="F10" s="13" t="s">
        <v>28</v>
      </c>
      <c r="G10" s="22" t="s">
        <v>30</v>
      </c>
      <c r="H10" s="18" t="s">
        <v>28</v>
      </c>
      <c r="I10" s="32">
        <v>20</v>
      </c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42"/>
      <c r="AC10" s="42"/>
      <c r="AD10" s="34">
        <v>0</v>
      </c>
      <c r="AE10" s="36">
        <v>1</v>
      </c>
      <c r="AF10" s="32"/>
      <c r="AG10" s="32"/>
      <c r="AH10" s="32"/>
      <c r="AI10" s="32"/>
      <c r="AJ10" s="32">
        <v>1</v>
      </c>
      <c r="AK10" s="32">
        <v>2</v>
      </c>
      <c r="AL10" s="32">
        <v>2</v>
      </c>
      <c r="AM10" s="32">
        <v>3</v>
      </c>
      <c r="AN10" s="32">
        <v>3</v>
      </c>
      <c r="AO10" s="32">
        <v>4</v>
      </c>
      <c r="AP10" s="32">
        <v>5</v>
      </c>
      <c r="AQ10" s="32">
        <v>6</v>
      </c>
      <c r="AR10" s="32">
        <v>7</v>
      </c>
      <c r="AS10" s="32">
        <v>8</v>
      </c>
      <c r="AT10" s="32">
        <v>10</v>
      </c>
      <c r="AU10" s="32">
        <v>11</v>
      </c>
      <c r="AV10" s="32">
        <v>14</v>
      </c>
      <c r="AW10" s="32">
        <v>15</v>
      </c>
      <c r="AX10" s="32">
        <v>21</v>
      </c>
      <c r="AY10" s="32">
        <v>22</v>
      </c>
      <c r="AZ10" s="32"/>
      <c r="BA10" s="32"/>
    </row>
    <row r="11" spans="1:53" ht="24.75" customHeight="1" x14ac:dyDescent="0.25">
      <c r="A11" s="19" t="s">
        <v>31</v>
      </c>
      <c r="B11" s="12" t="s">
        <v>19</v>
      </c>
      <c r="C11" s="13" t="s">
        <v>22</v>
      </c>
      <c r="D11" s="13" t="s">
        <v>24</v>
      </c>
      <c r="E11" s="13" t="s">
        <v>26</v>
      </c>
      <c r="F11" s="13" t="s">
        <v>30</v>
      </c>
      <c r="G11" s="22" t="s">
        <v>32</v>
      </c>
      <c r="H11" s="18" t="s">
        <v>30</v>
      </c>
      <c r="I11" s="32">
        <v>32</v>
      </c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4">
        <v>0</v>
      </c>
      <c r="AC11" s="36">
        <v>1</v>
      </c>
      <c r="AD11" s="32"/>
      <c r="AE11" s="32"/>
      <c r="AF11" s="32"/>
      <c r="AG11" s="32"/>
      <c r="AH11" s="32">
        <v>1</v>
      </c>
      <c r="AI11" s="32">
        <v>2</v>
      </c>
      <c r="AJ11" s="32">
        <v>2</v>
      </c>
      <c r="AK11" s="32">
        <v>3</v>
      </c>
      <c r="AL11" s="32">
        <v>3</v>
      </c>
      <c r="AM11" s="32">
        <v>4</v>
      </c>
      <c r="AN11" s="32">
        <v>5</v>
      </c>
      <c r="AO11" s="32">
        <v>6</v>
      </c>
      <c r="AP11" s="32">
        <v>7</v>
      </c>
      <c r="AQ11" s="32">
        <v>8</v>
      </c>
      <c r="AR11" s="32">
        <v>10</v>
      </c>
      <c r="AS11" s="32">
        <v>11</v>
      </c>
      <c r="AT11" s="32">
        <v>14</v>
      </c>
      <c r="AU11" s="32">
        <v>15</v>
      </c>
      <c r="AV11" s="32">
        <v>21</v>
      </c>
      <c r="AW11" s="32">
        <v>22</v>
      </c>
      <c r="AX11" s="32"/>
      <c r="AY11" s="32"/>
      <c r="AZ11" s="32"/>
      <c r="BA11" s="32"/>
    </row>
    <row r="12" spans="1:53" ht="24.75" customHeight="1" x14ac:dyDescent="0.25">
      <c r="A12" s="19" t="s">
        <v>33</v>
      </c>
      <c r="B12" s="12" t="s">
        <v>19</v>
      </c>
      <c r="C12" s="13" t="s">
        <v>22</v>
      </c>
      <c r="D12" s="13" t="s">
        <v>24</v>
      </c>
      <c r="E12" s="13" t="s">
        <v>28</v>
      </c>
      <c r="F12" s="13" t="s">
        <v>32</v>
      </c>
      <c r="G12" s="22" t="s">
        <v>34</v>
      </c>
      <c r="H12" s="18" t="s">
        <v>32</v>
      </c>
      <c r="I12" s="32">
        <v>50</v>
      </c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4">
        <v>0</v>
      </c>
      <c r="AA12" s="36">
        <v>1</v>
      </c>
      <c r="AB12" s="32"/>
      <c r="AC12" s="32"/>
      <c r="AD12" s="32"/>
      <c r="AE12" s="32"/>
      <c r="AF12" s="32">
        <v>1</v>
      </c>
      <c r="AG12" s="32">
        <v>2</v>
      </c>
      <c r="AH12" s="32">
        <v>2</v>
      </c>
      <c r="AI12" s="32">
        <v>3</v>
      </c>
      <c r="AJ12" s="32">
        <v>3</v>
      </c>
      <c r="AK12" s="32">
        <v>4</v>
      </c>
      <c r="AL12" s="32">
        <v>5</v>
      </c>
      <c r="AM12" s="32">
        <v>6</v>
      </c>
      <c r="AN12" s="32">
        <v>7</v>
      </c>
      <c r="AO12" s="32">
        <v>8</v>
      </c>
      <c r="AP12" s="32">
        <v>10</v>
      </c>
      <c r="AQ12" s="32">
        <v>11</v>
      </c>
      <c r="AR12" s="32">
        <v>14</v>
      </c>
      <c r="AS12" s="32">
        <v>15</v>
      </c>
      <c r="AT12" s="32">
        <v>21</v>
      </c>
      <c r="AU12" s="32">
        <v>22</v>
      </c>
      <c r="AV12" s="32"/>
      <c r="AW12" s="32"/>
      <c r="AX12" s="32"/>
      <c r="AY12" s="32"/>
      <c r="AZ12" s="32"/>
      <c r="BA12" s="32"/>
    </row>
    <row r="13" spans="1:53" ht="24.75" customHeight="1" x14ac:dyDescent="0.25">
      <c r="A13" s="19" t="s">
        <v>35</v>
      </c>
      <c r="B13" s="12" t="s">
        <v>22</v>
      </c>
      <c r="C13" s="13" t="s">
        <v>22</v>
      </c>
      <c r="D13" s="13" t="s">
        <v>26</v>
      </c>
      <c r="E13" s="13" t="s">
        <v>30</v>
      </c>
      <c r="F13" s="13" t="s">
        <v>34</v>
      </c>
      <c r="G13" s="22" t="s">
        <v>36</v>
      </c>
      <c r="H13" s="18" t="s">
        <v>34</v>
      </c>
      <c r="I13" s="32">
        <v>80</v>
      </c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4">
        <v>0</v>
      </c>
      <c r="Y13" s="36">
        <v>1</v>
      </c>
      <c r="Z13" s="32"/>
      <c r="AA13" s="32"/>
      <c r="AB13" s="32"/>
      <c r="AC13" s="32"/>
      <c r="AD13" s="32">
        <v>1</v>
      </c>
      <c r="AE13" s="32">
        <v>2</v>
      </c>
      <c r="AF13" s="32">
        <v>2</v>
      </c>
      <c r="AG13" s="32">
        <v>3</v>
      </c>
      <c r="AH13" s="32">
        <v>3</v>
      </c>
      <c r="AI13" s="32">
        <v>4</v>
      </c>
      <c r="AJ13" s="32">
        <v>5</v>
      </c>
      <c r="AK13" s="32">
        <v>6</v>
      </c>
      <c r="AL13" s="32">
        <v>7</v>
      </c>
      <c r="AM13" s="32">
        <v>8</v>
      </c>
      <c r="AN13" s="32">
        <v>10</v>
      </c>
      <c r="AO13" s="32">
        <v>11</v>
      </c>
      <c r="AP13" s="32">
        <v>14</v>
      </c>
      <c r="AQ13" s="32">
        <v>15</v>
      </c>
      <c r="AR13" s="32">
        <v>21</v>
      </c>
      <c r="AS13" s="32">
        <v>22</v>
      </c>
      <c r="AT13" s="32"/>
      <c r="AU13" s="32"/>
      <c r="AV13" s="32"/>
      <c r="AW13" s="32"/>
      <c r="AX13" s="32"/>
      <c r="AY13" s="32"/>
      <c r="AZ13" s="32"/>
      <c r="BA13" s="32"/>
    </row>
    <row r="14" spans="1:53" ht="24.75" customHeight="1" x14ac:dyDescent="0.25">
      <c r="A14" s="19" t="s">
        <v>37</v>
      </c>
      <c r="B14" s="12" t="s">
        <v>22</v>
      </c>
      <c r="C14" s="13" t="s">
        <v>24</v>
      </c>
      <c r="D14" s="13" t="s">
        <v>26</v>
      </c>
      <c r="E14" s="13" t="s">
        <v>32</v>
      </c>
      <c r="F14" s="13" t="s">
        <v>36</v>
      </c>
      <c r="G14" s="22" t="s">
        <v>38</v>
      </c>
      <c r="H14" s="18" t="s">
        <v>36</v>
      </c>
      <c r="I14" s="32">
        <v>125</v>
      </c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4">
        <v>0</v>
      </c>
      <c r="W14" s="36">
        <v>1</v>
      </c>
      <c r="X14" s="32"/>
      <c r="Y14" s="32"/>
      <c r="Z14" s="32"/>
      <c r="AA14" s="32"/>
      <c r="AB14" s="32">
        <v>1</v>
      </c>
      <c r="AC14" s="32">
        <v>2</v>
      </c>
      <c r="AD14" s="32">
        <v>2</v>
      </c>
      <c r="AE14" s="32">
        <v>3</v>
      </c>
      <c r="AF14" s="32">
        <v>3</v>
      </c>
      <c r="AG14" s="32">
        <v>4</v>
      </c>
      <c r="AH14" s="32">
        <v>5</v>
      </c>
      <c r="AI14" s="32">
        <v>6</v>
      </c>
      <c r="AJ14" s="32">
        <v>7</v>
      </c>
      <c r="AK14" s="32">
        <v>8</v>
      </c>
      <c r="AL14" s="32">
        <v>10</v>
      </c>
      <c r="AM14" s="32">
        <v>11</v>
      </c>
      <c r="AN14" s="32">
        <v>14</v>
      </c>
      <c r="AO14" s="32">
        <v>15</v>
      </c>
      <c r="AP14" s="32">
        <v>21</v>
      </c>
      <c r="AQ14" s="32">
        <v>22</v>
      </c>
      <c r="AR14" s="32"/>
      <c r="AS14" s="32"/>
      <c r="AT14" s="32"/>
      <c r="AU14" s="32"/>
      <c r="AV14" s="32"/>
      <c r="AW14" s="32"/>
      <c r="AX14" s="32"/>
      <c r="AY14" s="32"/>
      <c r="AZ14" s="32"/>
      <c r="BA14" s="32"/>
    </row>
    <row r="15" spans="1:53" ht="24.75" customHeight="1" x14ac:dyDescent="0.25">
      <c r="A15" s="19" t="s">
        <v>39</v>
      </c>
      <c r="B15" s="12" t="s">
        <v>22</v>
      </c>
      <c r="C15" s="13" t="s">
        <v>24</v>
      </c>
      <c r="D15" s="13" t="s">
        <v>28</v>
      </c>
      <c r="E15" s="13" t="s">
        <v>34</v>
      </c>
      <c r="F15" s="13" t="s">
        <v>38</v>
      </c>
      <c r="G15" s="22" t="s">
        <v>40</v>
      </c>
      <c r="H15" s="18" t="s">
        <v>38</v>
      </c>
      <c r="I15" s="32">
        <v>200</v>
      </c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4">
        <v>0</v>
      </c>
      <c r="U15" s="36">
        <v>1</v>
      </c>
      <c r="V15" s="32"/>
      <c r="W15" s="32"/>
      <c r="X15" s="32"/>
      <c r="Y15" s="32"/>
      <c r="Z15" s="32">
        <v>1</v>
      </c>
      <c r="AA15" s="32">
        <v>2</v>
      </c>
      <c r="AB15" s="32">
        <v>2</v>
      </c>
      <c r="AC15" s="32">
        <v>3</v>
      </c>
      <c r="AD15" s="32">
        <v>3</v>
      </c>
      <c r="AE15" s="32">
        <v>4</v>
      </c>
      <c r="AF15" s="32">
        <v>5</v>
      </c>
      <c r="AG15" s="32">
        <v>6</v>
      </c>
      <c r="AH15" s="32">
        <v>7</v>
      </c>
      <c r="AI15" s="32">
        <v>8</v>
      </c>
      <c r="AJ15" s="32">
        <v>10</v>
      </c>
      <c r="AK15" s="32">
        <v>11</v>
      </c>
      <c r="AL15" s="32">
        <v>14</v>
      </c>
      <c r="AM15" s="32">
        <v>15</v>
      </c>
      <c r="AN15" s="32">
        <v>21</v>
      </c>
      <c r="AO15" s="32">
        <v>22</v>
      </c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</row>
    <row r="16" spans="1:53" ht="24.75" customHeight="1" x14ac:dyDescent="0.25">
      <c r="A16" s="19" t="s">
        <v>41</v>
      </c>
      <c r="B16" s="12" t="s">
        <v>22</v>
      </c>
      <c r="C16" s="13" t="s">
        <v>24</v>
      </c>
      <c r="D16" s="13" t="s">
        <v>28</v>
      </c>
      <c r="E16" s="13" t="s">
        <v>36</v>
      </c>
      <c r="F16" s="13" t="s">
        <v>40</v>
      </c>
      <c r="G16" s="22" t="s">
        <v>42</v>
      </c>
      <c r="H16" s="18" t="s">
        <v>40</v>
      </c>
      <c r="I16" s="32">
        <v>315</v>
      </c>
      <c r="J16" s="32"/>
      <c r="K16" s="32"/>
      <c r="L16" s="32"/>
      <c r="M16" s="32"/>
      <c r="N16" s="32"/>
      <c r="O16" s="32"/>
      <c r="P16" s="32"/>
      <c r="Q16" s="32"/>
      <c r="R16" s="34">
        <v>0</v>
      </c>
      <c r="S16" s="36">
        <v>1</v>
      </c>
      <c r="T16" s="32"/>
      <c r="U16" s="32"/>
      <c r="V16" s="32"/>
      <c r="W16" s="32"/>
      <c r="X16" s="32">
        <v>1</v>
      </c>
      <c r="Y16" s="32">
        <v>2</v>
      </c>
      <c r="Z16" s="32">
        <v>2</v>
      </c>
      <c r="AA16" s="32">
        <v>3</v>
      </c>
      <c r="AB16" s="32">
        <v>3</v>
      </c>
      <c r="AC16" s="32">
        <v>4</v>
      </c>
      <c r="AD16" s="32">
        <v>5</v>
      </c>
      <c r="AE16" s="32">
        <v>6</v>
      </c>
      <c r="AF16" s="32">
        <v>7</v>
      </c>
      <c r="AG16" s="32">
        <v>8</v>
      </c>
      <c r="AH16" s="32">
        <v>10</v>
      </c>
      <c r="AI16" s="32">
        <v>11</v>
      </c>
      <c r="AJ16" s="32">
        <v>14</v>
      </c>
      <c r="AK16" s="32">
        <v>15</v>
      </c>
      <c r="AL16" s="32">
        <v>21</v>
      </c>
      <c r="AM16" s="32">
        <v>22</v>
      </c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</row>
    <row r="17" spans="1:53" ht="24.75" customHeight="1" x14ac:dyDescent="0.25">
      <c r="A17" s="19" t="s">
        <v>43</v>
      </c>
      <c r="B17" s="12" t="s">
        <v>24</v>
      </c>
      <c r="C17" s="13" t="s">
        <v>26</v>
      </c>
      <c r="D17" s="13" t="s">
        <v>30</v>
      </c>
      <c r="E17" s="13" t="s">
        <v>38</v>
      </c>
      <c r="F17" s="13" t="s">
        <v>42</v>
      </c>
      <c r="G17" s="22" t="s">
        <v>44</v>
      </c>
      <c r="H17" s="18" t="s">
        <v>42</v>
      </c>
      <c r="I17" s="32">
        <v>500</v>
      </c>
      <c r="J17" s="32"/>
      <c r="K17" s="32"/>
      <c r="L17" s="32"/>
      <c r="M17" s="32"/>
      <c r="N17" s="33"/>
      <c r="O17" s="33"/>
      <c r="P17" s="34">
        <v>0</v>
      </c>
      <c r="Q17" s="36">
        <v>1</v>
      </c>
      <c r="R17" s="32"/>
      <c r="S17" s="32"/>
      <c r="T17" s="32"/>
      <c r="U17" s="32"/>
      <c r="V17" s="32">
        <v>1</v>
      </c>
      <c r="W17" s="32">
        <v>2</v>
      </c>
      <c r="X17" s="32">
        <v>2</v>
      </c>
      <c r="Y17" s="32">
        <v>3</v>
      </c>
      <c r="Z17" s="32">
        <v>3</v>
      </c>
      <c r="AA17" s="32">
        <v>4</v>
      </c>
      <c r="AB17" s="32">
        <v>5</v>
      </c>
      <c r="AC17" s="32">
        <v>6</v>
      </c>
      <c r="AD17" s="32">
        <v>7</v>
      </c>
      <c r="AE17" s="32">
        <v>8</v>
      </c>
      <c r="AF17" s="32">
        <v>10</v>
      </c>
      <c r="AG17" s="32">
        <v>11</v>
      </c>
      <c r="AH17" s="32">
        <v>14</v>
      </c>
      <c r="AI17" s="32">
        <v>15</v>
      </c>
      <c r="AJ17" s="32">
        <v>21</v>
      </c>
      <c r="AK17" s="32">
        <v>22</v>
      </c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</row>
    <row r="18" spans="1:53" ht="24.75" customHeight="1" x14ac:dyDescent="0.25">
      <c r="A18" s="23" t="s">
        <v>45</v>
      </c>
      <c r="B18" s="12" t="s">
        <v>24</v>
      </c>
      <c r="C18" s="13" t="s">
        <v>26</v>
      </c>
      <c r="D18" s="13" t="s">
        <v>30</v>
      </c>
      <c r="E18" s="24" t="s">
        <v>40</v>
      </c>
      <c r="F18" s="13" t="s">
        <v>44</v>
      </c>
      <c r="G18" s="25" t="s">
        <v>46</v>
      </c>
      <c r="H18" s="18" t="s">
        <v>44</v>
      </c>
      <c r="I18" s="32">
        <v>800</v>
      </c>
      <c r="J18" s="32"/>
      <c r="K18" s="32"/>
      <c r="L18" s="33"/>
      <c r="M18" s="35"/>
      <c r="N18" s="34">
        <v>0</v>
      </c>
      <c r="O18" s="36">
        <v>1</v>
      </c>
      <c r="P18" s="36"/>
      <c r="Q18" s="32"/>
      <c r="R18" s="33"/>
      <c r="S18" s="33"/>
      <c r="T18" s="32">
        <v>1</v>
      </c>
      <c r="U18" s="32">
        <v>2</v>
      </c>
      <c r="V18" s="32">
        <v>2</v>
      </c>
      <c r="W18" s="32">
        <v>3</v>
      </c>
      <c r="X18" s="32">
        <v>3</v>
      </c>
      <c r="Y18" s="32">
        <v>4</v>
      </c>
      <c r="Z18" s="32">
        <v>5</v>
      </c>
      <c r="AA18" s="32">
        <v>6</v>
      </c>
      <c r="AB18" s="32">
        <v>7</v>
      </c>
      <c r="AC18" s="32">
        <v>8</v>
      </c>
      <c r="AD18" s="32">
        <v>10</v>
      </c>
      <c r="AE18" s="32">
        <v>11</v>
      </c>
      <c r="AF18" s="32">
        <v>14</v>
      </c>
      <c r="AG18" s="32">
        <v>15</v>
      </c>
      <c r="AH18" s="32">
        <v>21</v>
      </c>
      <c r="AI18" s="32">
        <v>22</v>
      </c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</row>
    <row r="19" spans="1:53" ht="24.75" customHeight="1" x14ac:dyDescent="0.25">
      <c r="A19" s="19" t="s">
        <v>47</v>
      </c>
      <c r="B19" s="26" t="s">
        <v>24</v>
      </c>
      <c r="C19" s="27" t="s">
        <v>26</v>
      </c>
      <c r="D19" s="27" t="s">
        <v>32</v>
      </c>
      <c r="E19" s="27" t="s">
        <v>42</v>
      </c>
      <c r="F19" s="27" t="s">
        <v>46</v>
      </c>
      <c r="G19" s="28" t="s">
        <v>48</v>
      </c>
      <c r="H19" s="18" t="s">
        <v>46</v>
      </c>
      <c r="I19" s="37">
        <v>1250</v>
      </c>
      <c r="J19" s="85"/>
      <c r="K19" s="86"/>
      <c r="L19" s="34">
        <v>0</v>
      </c>
      <c r="M19" s="36">
        <v>1</v>
      </c>
      <c r="N19" s="38"/>
      <c r="O19" s="39"/>
      <c r="P19" s="32"/>
      <c r="Q19" s="34"/>
      <c r="R19" s="34">
        <v>1</v>
      </c>
      <c r="S19" s="36">
        <v>2</v>
      </c>
      <c r="T19" s="36">
        <v>2</v>
      </c>
      <c r="U19" s="32">
        <v>3</v>
      </c>
      <c r="V19" s="32">
        <v>3</v>
      </c>
      <c r="W19" s="32">
        <v>4</v>
      </c>
      <c r="X19" s="32">
        <v>5</v>
      </c>
      <c r="Y19" s="32">
        <v>6</v>
      </c>
      <c r="Z19" s="32">
        <v>7</v>
      </c>
      <c r="AA19" s="32">
        <v>8</v>
      </c>
      <c r="AB19" s="32">
        <v>10</v>
      </c>
      <c r="AC19" s="32">
        <v>11</v>
      </c>
      <c r="AD19" s="32">
        <v>14</v>
      </c>
      <c r="AE19" s="32">
        <v>15</v>
      </c>
      <c r="AF19" s="32">
        <v>21</v>
      </c>
      <c r="AG19" s="32">
        <v>22</v>
      </c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</row>
    <row r="20" spans="1:53" ht="18.75" customHeight="1" x14ac:dyDescent="0.25">
      <c r="A20" s="87" t="s">
        <v>49</v>
      </c>
      <c r="B20" s="88"/>
      <c r="C20" s="88"/>
      <c r="D20" s="88"/>
      <c r="E20" s="88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40" t="s">
        <v>50</v>
      </c>
      <c r="S20" s="40"/>
      <c r="T20" s="40"/>
      <c r="U20" s="40"/>
      <c r="V20" s="40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0"/>
      <c r="AK20" s="40"/>
      <c r="AL20" s="40"/>
      <c r="AM20" s="40"/>
      <c r="AN20" s="40"/>
      <c r="AO20" s="46"/>
      <c r="AP20" s="70" t="s">
        <v>51</v>
      </c>
      <c r="AQ20" s="69"/>
      <c r="AR20" s="69"/>
      <c r="AS20" s="69"/>
      <c r="AT20" s="69" t="s">
        <v>52</v>
      </c>
      <c r="AU20" s="69"/>
      <c r="AV20" s="69"/>
      <c r="AW20" s="69"/>
      <c r="AX20" s="69" t="s">
        <v>53</v>
      </c>
      <c r="AY20" s="69"/>
      <c r="AZ20" s="69"/>
      <c r="BA20" s="69"/>
    </row>
    <row r="21" spans="1:53" ht="16.5" customHeight="1" x14ac:dyDescent="0.25">
      <c r="A21" s="29"/>
      <c r="AO21" s="47"/>
      <c r="AP21" s="70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</row>
    <row r="22" spans="1:53" ht="17.25" customHeight="1" x14ac:dyDescent="0.25">
      <c r="A22" s="71" t="s">
        <v>54</v>
      </c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43"/>
      <c r="AH22" s="43"/>
      <c r="AI22" s="43"/>
      <c r="AJ22" s="44" t="s">
        <v>55</v>
      </c>
      <c r="AK22" s="45"/>
      <c r="AL22" s="45"/>
      <c r="AM22" s="45"/>
      <c r="AN22" s="45"/>
      <c r="AO22" s="48"/>
      <c r="AP22" s="70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</row>
    <row r="23" spans="1:53" ht="19.5" customHeight="1" x14ac:dyDescent="0.25"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</row>
    <row r="24" spans="1:53" ht="19.5" customHeight="1" x14ac:dyDescent="0.25"/>
    <row r="25" spans="1:53" ht="19.5" customHeight="1" x14ac:dyDescent="0.25"/>
  </sheetData>
  <mergeCells count="44">
    <mergeCell ref="AP21:AS22"/>
    <mergeCell ref="AT21:AW22"/>
    <mergeCell ref="AX21:BA22"/>
    <mergeCell ref="A22:AF22"/>
    <mergeCell ref="A2:A4"/>
    <mergeCell ref="B3:B4"/>
    <mergeCell ref="C3:C4"/>
    <mergeCell ref="D3:D4"/>
    <mergeCell ref="E3:E4"/>
    <mergeCell ref="F3:F4"/>
    <mergeCell ref="G3:G4"/>
    <mergeCell ref="H2:H4"/>
    <mergeCell ref="I2:I4"/>
    <mergeCell ref="J19:K19"/>
    <mergeCell ref="A20:Q20"/>
    <mergeCell ref="AP20:AS20"/>
    <mergeCell ref="AT20:AW20"/>
    <mergeCell ref="AX20:BA20"/>
    <mergeCell ref="AR3:AS3"/>
    <mergeCell ref="AT3:AU3"/>
    <mergeCell ref="AV3:AW3"/>
    <mergeCell ref="AX3:AY3"/>
    <mergeCell ref="AZ3:BA3"/>
    <mergeCell ref="AH3:AI3"/>
    <mergeCell ref="AJ3:AK3"/>
    <mergeCell ref="AL3:AM3"/>
    <mergeCell ref="AN3:AO3"/>
    <mergeCell ref="AP3:AQ3"/>
    <mergeCell ref="A1:BA1"/>
    <mergeCell ref="B2:D2"/>
    <mergeCell ref="E2:G2"/>
    <mergeCell ref="J2:BA2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</mergeCells>
  <phoneticPr fontId="18" type="noConversion"/>
  <pageMargins left="0.27559055118110198" right="0.511811023622047" top="0.35433070866141703" bottom="0.196850393700787" header="0" footer="7.8740157480315001E-2"/>
  <pageSetup paperSize="9" orientation="landscape" horizontalDpi="180" verticalDpi="18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H28"/>
  <sheetViews>
    <sheetView tabSelected="1" zoomScale="130" zoomScaleNormal="130" workbookViewId="0">
      <selection activeCell="B2" sqref="B2"/>
    </sheetView>
  </sheetViews>
  <sheetFormatPr defaultColWidth="9" defaultRowHeight="15" x14ac:dyDescent="0.3"/>
  <cols>
    <col min="1" max="1" width="9" style="1"/>
    <col min="2" max="2" width="16.08203125" style="1" customWidth="1"/>
    <col min="3" max="3" width="14.75" style="1" bestFit="1" customWidth="1"/>
    <col min="4" max="7" width="3.75" style="1" bestFit="1" customWidth="1"/>
    <col min="8" max="8" width="2.9140625" style="1" bestFit="1" customWidth="1"/>
    <col min="9" max="10" width="2.75" style="1" bestFit="1" customWidth="1"/>
    <col min="11" max="11" width="2.75" style="1" customWidth="1"/>
    <col min="12" max="12" width="5.08203125" style="1" customWidth="1"/>
    <col min="13" max="30" width="2.5" style="1" customWidth="1"/>
    <col min="31" max="34" width="3.25" style="2" bestFit="1" customWidth="1"/>
    <col min="35" max="56" width="3.25" style="1" bestFit="1" customWidth="1"/>
    <col min="57" max="16384" width="9" style="1"/>
  </cols>
  <sheetData>
    <row r="1" spans="1:60" ht="19.5" x14ac:dyDescent="0.35">
      <c r="A1" s="49" t="s">
        <v>71</v>
      </c>
      <c r="B1" s="160">
        <v>1400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</row>
    <row r="2" spans="1:60" ht="19.5" x14ac:dyDescent="0.35">
      <c r="A2" s="49" t="s">
        <v>72</v>
      </c>
      <c r="B2" s="160" t="s">
        <v>75</v>
      </c>
      <c r="C2" s="51"/>
      <c r="D2" s="53"/>
      <c r="E2" s="53"/>
      <c r="F2" s="53"/>
      <c r="G2" s="53"/>
      <c r="H2" s="53"/>
      <c r="I2" s="53"/>
      <c r="J2" s="53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</row>
    <row r="3" spans="1:60" ht="19.5" x14ac:dyDescent="0.35">
      <c r="A3" s="50" t="s">
        <v>73</v>
      </c>
      <c r="B3" s="160">
        <v>1.5</v>
      </c>
      <c r="C3" s="51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</row>
    <row r="4" spans="1:60" ht="27.75" customHeight="1" x14ac:dyDescent="0.5">
      <c r="A4" s="49" t="s">
        <v>74</v>
      </c>
      <c r="B4" s="161" cm="1">
        <f t="array" ref="B4">获取样本量并高亮(B1, B2, B3)</f>
        <v>50</v>
      </c>
      <c r="C4" s="91" t="s">
        <v>56</v>
      </c>
      <c r="D4" s="92"/>
      <c r="E4" s="92"/>
      <c r="F4" s="92"/>
      <c r="G4" s="92"/>
      <c r="H4" s="92"/>
      <c r="I4" s="92"/>
      <c r="J4" s="92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</row>
    <row r="5" spans="1:60" ht="24.75" customHeight="1" x14ac:dyDescent="0.35">
      <c r="A5" s="50" t="s">
        <v>83</v>
      </c>
      <c r="B5" s="161" cm="1">
        <f t="array" ref="B5">INDEX(计算抽样(B1,B2,B3),2)</f>
        <v>2</v>
      </c>
      <c r="C5" s="116" t="s">
        <v>57</v>
      </c>
      <c r="D5" s="93" t="s">
        <v>58</v>
      </c>
      <c r="E5" s="94"/>
      <c r="F5" s="94"/>
      <c r="G5" s="95"/>
      <c r="H5" s="96" t="s">
        <v>59</v>
      </c>
      <c r="I5" s="96"/>
      <c r="J5" s="97"/>
      <c r="K5" s="122" t="s">
        <v>60</v>
      </c>
      <c r="L5" s="125" t="s">
        <v>61</v>
      </c>
      <c r="M5" s="98" t="s">
        <v>62</v>
      </c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100"/>
    </row>
    <row r="6" spans="1:60" ht="21.75" customHeight="1" x14ac:dyDescent="0.35">
      <c r="A6" s="50" t="s">
        <v>84</v>
      </c>
      <c r="B6" s="161" cm="1">
        <f t="array" ref="B6">INDEX(计算抽样(B1,B2,B3),3)</f>
        <v>3</v>
      </c>
      <c r="C6" s="117"/>
      <c r="D6" s="119" t="s">
        <v>80</v>
      </c>
      <c r="E6" s="105" t="s">
        <v>8</v>
      </c>
      <c r="F6" s="105" t="s">
        <v>9</v>
      </c>
      <c r="G6" s="105" t="s">
        <v>63</v>
      </c>
      <c r="H6" s="120" t="s">
        <v>64</v>
      </c>
      <c r="I6" s="65" t="s">
        <v>78</v>
      </c>
      <c r="J6" s="78" t="s">
        <v>79</v>
      </c>
      <c r="K6" s="123"/>
      <c r="L6" s="126"/>
      <c r="M6" s="101">
        <v>0</v>
      </c>
      <c r="N6" s="102"/>
      <c r="O6" s="101">
        <v>0.01</v>
      </c>
      <c r="P6" s="102"/>
      <c r="Q6" s="103" t="s">
        <v>13</v>
      </c>
      <c r="R6" s="102"/>
      <c r="S6" s="103" t="s">
        <v>14</v>
      </c>
      <c r="T6" s="102"/>
      <c r="U6" s="101">
        <v>0.04</v>
      </c>
      <c r="V6" s="101"/>
      <c r="W6" s="101">
        <v>6.5000000000000002E-2</v>
      </c>
      <c r="X6" s="101"/>
      <c r="Y6" s="101">
        <v>0.1</v>
      </c>
      <c r="Z6" s="101"/>
      <c r="AA6" s="101">
        <v>0.15</v>
      </c>
      <c r="AB6" s="101"/>
      <c r="AC6" s="101">
        <v>0.25</v>
      </c>
      <c r="AD6" s="101"/>
      <c r="AE6" s="104">
        <v>0.4</v>
      </c>
      <c r="AF6" s="104"/>
      <c r="AG6" s="105">
        <v>0.65</v>
      </c>
      <c r="AH6" s="105"/>
      <c r="AI6" s="106">
        <v>1</v>
      </c>
      <c r="AJ6" s="106"/>
      <c r="AK6" s="101">
        <v>1.5</v>
      </c>
      <c r="AL6" s="101"/>
      <c r="AM6" s="101">
        <v>2.5</v>
      </c>
      <c r="AN6" s="101"/>
      <c r="AO6" s="106">
        <v>4</v>
      </c>
      <c r="AP6" s="106"/>
      <c r="AQ6" s="101">
        <v>6.5</v>
      </c>
      <c r="AR6" s="102"/>
      <c r="AS6" s="101">
        <v>10</v>
      </c>
      <c r="AT6" s="102"/>
      <c r="AU6" s="101">
        <v>15</v>
      </c>
      <c r="AV6" s="102"/>
      <c r="AW6" s="101">
        <v>25</v>
      </c>
      <c r="AX6" s="102"/>
      <c r="AY6" s="101">
        <v>40</v>
      </c>
      <c r="AZ6" s="102"/>
      <c r="BA6" s="101">
        <v>65</v>
      </c>
      <c r="BB6" s="102"/>
      <c r="BC6" s="101">
        <v>100</v>
      </c>
      <c r="BD6" s="101"/>
    </row>
    <row r="7" spans="1:60" ht="21.75" customHeight="1" x14ac:dyDescent="0.35">
      <c r="A7" s="159" t="s">
        <v>100</v>
      </c>
      <c r="B7" s="162" t="str" cm="1">
        <f t="array" ref="B7">INDEX(计算抽样(B1,B2,B3),4)</f>
        <v>抽检</v>
      </c>
      <c r="C7" s="118"/>
      <c r="D7" s="119"/>
      <c r="E7" s="105"/>
      <c r="F7" s="105"/>
      <c r="G7" s="105"/>
      <c r="H7" s="120"/>
      <c r="I7" s="120"/>
      <c r="J7" s="121"/>
      <c r="K7" s="124"/>
      <c r="L7" s="127"/>
      <c r="M7" s="5" t="s">
        <v>15</v>
      </c>
      <c r="N7" s="5" t="s">
        <v>16</v>
      </c>
      <c r="O7" s="5" t="s">
        <v>15</v>
      </c>
      <c r="P7" s="5" t="s">
        <v>16</v>
      </c>
      <c r="Q7" s="5" t="s">
        <v>15</v>
      </c>
      <c r="R7" s="5" t="s">
        <v>16</v>
      </c>
      <c r="S7" s="5" t="s">
        <v>15</v>
      </c>
      <c r="T7" s="5" t="s">
        <v>16</v>
      </c>
      <c r="U7" s="5" t="s">
        <v>15</v>
      </c>
      <c r="V7" s="5" t="s">
        <v>16</v>
      </c>
      <c r="W7" s="5" t="s">
        <v>15</v>
      </c>
      <c r="X7" s="5" t="s">
        <v>16</v>
      </c>
      <c r="Y7" s="5" t="s">
        <v>15</v>
      </c>
      <c r="Z7" s="5" t="s">
        <v>16</v>
      </c>
      <c r="AA7" s="5" t="s">
        <v>15</v>
      </c>
      <c r="AB7" s="5" t="s">
        <v>16</v>
      </c>
      <c r="AC7" s="5" t="s">
        <v>15</v>
      </c>
      <c r="AD7" s="5" t="s">
        <v>16</v>
      </c>
      <c r="AE7" s="6" t="s">
        <v>15</v>
      </c>
      <c r="AF7" s="6" t="s">
        <v>16</v>
      </c>
      <c r="AG7" s="7" t="s">
        <v>15</v>
      </c>
      <c r="AH7" s="7" t="s">
        <v>16</v>
      </c>
      <c r="AI7" s="5" t="s">
        <v>15</v>
      </c>
      <c r="AJ7" s="5" t="s">
        <v>16</v>
      </c>
      <c r="AK7" s="5" t="s">
        <v>15</v>
      </c>
      <c r="AL7" s="5" t="s">
        <v>16</v>
      </c>
      <c r="AM7" s="5" t="s">
        <v>15</v>
      </c>
      <c r="AN7" s="5" t="s">
        <v>16</v>
      </c>
      <c r="AO7" s="5" t="s">
        <v>15</v>
      </c>
      <c r="AP7" s="5" t="s">
        <v>16</v>
      </c>
      <c r="AQ7" s="5" t="s">
        <v>15</v>
      </c>
      <c r="AR7" s="5" t="s">
        <v>16</v>
      </c>
      <c r="AS7" s="5" t="s">
        <v>15</v>
      </c>
      <c r="AT7" s="5" t="s">
        <v>16</v>
      </c>
      <c r="AU7" s="5" t="s">
        <v>15</v>
      </c>
      <c r="AV7" s="5" t="s">
        <v>16</v>
      </c>
      <c r="AW7" s="5" t="s">
        <v>15</v>
      </c>
      <c r="AX7" s="5" t="s">
        <v>16</v>
      </c>
      <c r="AY7" s="5" t="s">
        <v>15</v>
      </c>
      <c r="AZ7" s="5" t="s">
        <v>16</v>
      </c>
      <c r="BA7" s="5" t="s">
        <v>15</v>
      </c>
      <c r="BB7" s="5" t="s">
        <v>16</v>
      </c>
      <c r="BC7" s="5" t="s">
        <v>15</v>
      </c>
      <c r="BD7" s="5" t="s">
        <v>16</v>
      </c>
    </row>
    <row r="8" spans="1:60" ht="24" customHeight="1" x14ac:dyDescent="0.3">
      <c r="A8" s="128">
        <v>2</v>
      </c>
      <c r="B8" s="128">
        <v>8</v>
      </c>
      <c r="C8" s="129" t="s">
        <v>86</v>
      </c>
      <c r="D8" s="130" t="s">
        <v>18</v>
      </c>
      <c r="E8" s="131" t="s">
        <v>18</v>
      </c>
      <c r="F8" s="131" t="s">
        <v>18</v>
      </c>
      <c r="G8" s="131" t="s">
        <v>18</v>
      </c>
      <c r="H8" s="131" t="s">
        <v>18</v>
      </c>
      <c r="I8" s="131" t="s">
        <v>18</v>
      </c>
      <c r="J8" s="132" t="s">
        <v>19</v>
      </c>
      <c r="K8" s="133" t="s">
        <v>18</v>
      </c>
      <c r="L8" s="134">
        <v>2</v>
      </c>
      <c r="M8" s="135" t="s">
        <v>82</v>
      </c>
      <c r="N8" s="136" t="s">
        <v>82</v>
      </c>
      <c r="O8" s="136" t="s">
        <v>82</v>
      </c>
      <c r="P8" s="136" t="s">
        <v>82</v>
      </c>
      <c r="Q8" s="135" t="s">
        <v>82</v>
      </c>
      <c r="R8" s="135" t="s">
        <v>82</v>
      </c>
      <c r="S8" s="135" t="s">
        <v>82</v>
      </c>
      <c r="T8" s="135" t="s">
        <v>82</v>
      </c>
      <c r="U8" s="135" t="s">
        <v>82</v>
      </c>
      <c r="V8" s="135" t="s">
        <v>82</v>
      </c>
      <c r="W8" s="135" t="s">
        <v>82</v>
      </c>
      <c r="X8" s="135" t="s">
        <v>82</v>
      </c>
      <c r="Y8" s="135" t="s">
        <v>82</v>
      </c>
      <c r="Z8" s="135" t="s">
        <v>82</v>
      </c>
      <c r="AA8" s="135" t="s">
        <v>82</v>
      </c>
      <c r="AB8" s="135" t="s">
        <v>82</v>
      </c>
      <c r="AC8" s="135" t="s">
        <v>82</v>
      </c>
      <c r="AD8" s="135" t="s">
        <v>82</v>
      </c>
      <c r="AE8" s="135" t="s">
        <v>82</v>
      </c>
      <c r="AF8" s="135" t="s">
        <v>82</v>
      </c>
      <c r="AG8" s="135" t="s">
        <v>82</v>
      </c>
      <c r="AH8" s="135" t="s">
        <v>82</v>
      </c>
      <c r="AI8" s="135" t="s">
        <v>82</v>
      </c>
      <c r="AJ8" s="135" t="s">
        <v>82</v>
      </c>
      <c r="AK8" s="135" t="s">
        <v>82</v>
      </c>
      <c r="AL8" s="135" t="s">
        <v>82</v>
      </c>
      <c r="AM8" s="135" t="s">
        <v>82</v>
      </c>
      <c r="AN8" s="135" t="s">
        <v>82</v>
      </c>
      <c r="AO8" s="135" t="s">
        <v>82</v>
      </c>
      <c r="AP8" s="135" t="s">
        <v>82</v>
      </c>
      <c r="AQ8" s="137">
        <v>0</v>
      </c>
      <c r="AR8" s="138">
        <v>1</v>
      </c>
      <c r="AS8" s="135" t="s">
        <v>82</v>
      </c>
      <c r="AT8" s="135" t="s">
        <v>82</v>
      </c>
      <c r="AU8" s="135" t="s">
        <v>82</v>
      </c>
      <c r="AV8" s="135" t="s">
        <v>82</v>
      </c>
      <c r="AW8" s="134">
        <v>1</v>
      </c>
      <c r="AX8" s="134">
        <v>2</v>
      </c>
      <c r="AY8" s="134">
        <v>2</v>
      </c>
      <c r="AZ8" s="134">
        <v>3</v>
      </c>
      <c r="BA8" s="134">
        <v>3</v>
      </c>
      <c r="BB8" s="134">
        <v>4</v>
      </c>
      <c r="BC8" s="134">
        <v>5</v>
      </c>
      <c r="BD8" s="134">
        <v>6</v>
      </c>
      <c r="BE8" s="139"/>
      <c r="BF8" s="139"/>
      <c r="BG8" s="139"/>
      <c r="BH8" s="139"/>
    </row>
    <row r="9" spans="1:60" ht="24" customHeight="1" x14ac:dyDescent="0.3">
      <c r="A9" s="128">
        <v>9</v>
      </c>
      <c r="B9" s="128">
        <v>15</v>
      </c>
      <c r="C9" s="140" t="s">
        <v>87</v>
      </c>
      <c r="D9" s="141" t="s">
        <v>18</v>
      </c>
      <c r="E9" s="142" t="s">
        <v>18</v>
      </c>
      <c r="F9" s="142" t="s">
        <v>18</v>
      </c>
      <c r="G9" s="142" t="s">
        <v>18</v>
      </c>
      <c r="H9" s="142" t="s">
        <v>18</v>
      </c>
      <c r="I9" s="134" t="s">
        <v>19</v>
      </c>
      <c r="J9" s="143" t="s">
        <v>22</v>
      </c>
      <c r="K9" s="133" t="s">
        <v>19</v>
      </c>
      <c r="L9" s="134">
        <v>3</v>
      </c>
      <c r="M9" s="136" t="s">
        <v>82</v>
      </c>
      <c r="N9" s="136" t="s">
        <v>82</v>
      </c>
      <c r="O9" s="136" t="s">
        <v>82</v>
      </c>
      <c r="P9" s="136" t="s">
        <v>82</v>
      </c>
      <c r="Q9" s="135" t="s">
        <v>82</v>
      </c>
      <c r="R9" s="135" t="s">
        <v>82</v>
      </c>
      <c r="S9" s="135" t="s">
        <v>82</v>
      </c>
      <c r="T9" s="135" t="s">
        <v>82</v>
      </c>
      <c r="U9" s="135" t="s">
        <v>82</v>
      </c>
      <c r="V9" s="135" t="s">
        <v>82</v>
      </c>
      <c r="W9" s="135" t="s">
        <v>82</v>
      </c>
      <c r="X9" s="135" t="s">
        <v>82</v>
      </c>
      <c r="Y9" s="135" t="s">
        <v>82</v>
      </c>
      <c r="Z9" s="135" t="s">
        <v>82</v>
      </c>
      <c r="AA9" s="135" t="s">
        <v>82</v>
      </c>
      <c r="AB9" s="135" t="s">
        <v>82</v>
      </c>
      <c r="AC9" s="135" t="s">
        <v>82</v>
      </c>
      <c r="AD9" s="135" t="s">
        <v>82</v>
      </c>
      <c r="AE9" s="135" t="s">
        <v>82</v>
      </c>
      <c r="AF9" s="135" t="s">
        <v>82</v>
      </c>
      <c r="AG9" s="135" t="s">
        <v>82</v>
      </c>
      <c r="AH9" s="135" t="s">
        <v>82</v>
      </c>
      <c r="AI9" s="135" t="s">
        <v>82</v>
      </c>
      <c r="AJ9" s="135" t="s">
        <v>82</v>
      </c>
      <c r="AK9" s="135" t="s">
        <v>82</v>
      </c>
      <c r="AL9" s="135" t="s">
        <v>82</v>
      </c>
      <c r="AM9" s="135" t="s">
        <v>82</v>
      </c>
      <c r="AN9" s="135" t="s">
        <v>82</v>
      </c>
      <c r="AO9" s="144">
        <v>0</v>
      </c>
      <c r="AP9" s="133">
        <v>1</v>
      </c>
      <c r="AQ9" s="135" t="s">
        <v>76</v>
      </c>
      <c r="AR9" s="136" t="s">
        <v>76</v>
      </c>
      <c r="AS9" s="135" t="s">
        <v>82</v>
      </c>
      <c r="AT9" s="135" t="s">
        <v>82</v>
      </c>
      <c r="AU9" s="134">
        <v>1</v>
      </c>
      <c r="AV9" s="134">
        <v>2</v>
      </c>
      <c r="AW9" s="134">
        <v>2</v>
      </c>
      <c r="AX9" s="134">
        <v>3</v>
      </c>
      <c r="AY9" s="134">
        <v>3</v>
      </c>
      <c r="AZ9" s="134">
        <v>4</v>
      </c>
      <c r="BA9" s="134">
        <v>5</v>
      </c>
      <c r="BB9" s="134">
        <v>6</v>
      </c>
      <c r="BC9" s="134">
        <v>7</v>
      </c>
      <c r="BD9" s="134">
        <v>8</v>
      </c>
      <c r="BE9" s="139"/>
      <c r="BF9" s="139"/>
      <c r="BG9" s="139"/>
      <c r="BH9" s="139"/>
    </row>
    <row r="10" spans="1:60" ht="24" customHeight="1" x14ac:dyDescent="0.3">
      <c r="A10" s="128">
        <v>16</v>
      </c>
      <c r="B10" s="128">
        <v>25</v>
      </c>
      <c r="C10" s="144" t="s">
        <v>88</v>
      </c>
      <c r="D10" s="141" t="s">
        <v>18</v>
      </c>
      <c r="E10" s="142" t="s">
        <v>18</v>
      </c>
      <c r="F10" s="134" t="s">
        <v>19</v>
      </c>
      <c r="G10" s="134" t="s">
        <v>19</v>
      </c>
      <c r="H10" s="134" t="s">
        <v>19</v>
      </c>
      <c r="I10" s="134" t="s">
        <v>22</v>
      </c>
      <c r="J10" s="143" t="s">
        <v>24</v>
      </c>
      <c r="K10" s="133" t="s">
        <v>22</v>
      </c>
      <c r="L10" s="134">
        <v>5</v>
      </c>
      <c r="M10" s="136" t="s">
        <v>82</v>
      </c>
      <c r="N10" s="136" t="s">
        <v>82</v>
      </c>
      <c r="O10" s="136" t="s">
        <v>82</v>
      </c>
      <c r="P10" s="136" t="s">
        <v>82</v>
      </c>
      <c r="Q10" s="135" t="s">
        <v>82</v>
      </c>
      <c r="R10" s="135" t="s">
        <v>82</v>
      </c>
      <c r="S10" s="135" t="s">
        <v>82</v>
      </c>
      <c r="T10" s="135" t="s">
        <v>82</v>
      </c>
      <c r="U10" s="135" t="s">
        <v>82</v>
      </c>
      <c r="V10" s="135" t="s">
        <v>82</v>
      </c>
      <c r="W10" s="135" t="s">
        <v>82</v>
      </c>
      <c r="X10" s="135" t="s">
        <v>82</v>
      </c>
      <c r="Y10" s="135" t="s">
        <v>82</v>
      </c>
      <c r="Z10" s="135" t="s">
        <v>82</v>
      </c>
      <c r="AA10" s="135" t="s">
        <v>82</v>
      </c>
      <c r="AB10" s="135" t="s">
        <v>82</v>
      </c>
      <c r="AC10" s="135" t="s">
        <v>82</v>
      </c>
      <c r="AD10" s="135" t="s">
        <v>82</v>
      </c>
      <c r="AE10" s="135" t="s">
        <v>82</v>
      </c>
      <c r="AF10" s="135" t="s">
        <v>82</v>
      </c>
      <c r="AG10" s="135" t="s">
        <v>82</v>
      </c>
      <c r="AH10" s="135" t="s">
        <v>82</v>
      </c>
      <c r="AI10" s="135" t="s">
        <v>82</v>
      </c>
      <c r="AJ10" s="135" t="s">
        <v>82</v>
      </c>
      <c r="AK10" s="135" t="s">
        <v>82</v>
      </c>
      <c r="AL10" s="135" t="s">
        <v>82</v>
      </c>
      <c r="AM10" s="144">
        <v>0</v>
      </c>
      <c r="AN10" s="133">
        <v>1</v>
      </c>
      <c r="AO10" s="136" t="s">
        <v>76</v>
      </c>
      <c r="AP10" s="136" t="s">
        <v>76</v>
      </c>
      <c r="AQ10" s="136" t="s">
        <v>82</v>
      </c>
      <c r="AR10" s="134"/>
      <c r="AS10" s="134">
        <v>1</v>
      </c>
      <c r="AT10" s="134">
        <v>2</v>
      </c>
      <c r="AU10" s="134">
        <v>2</v>
      </c>
      <c r="AV10" s="134">
        <v>3</v>
      </c>
      <c r="AW10" s="134">
        <v>3</v>
      </c>
      <c r="AX10" s="134">
        <v>4</v>
      </c>
      <c r="AY10" s="134">
        <v>5</v>
      </c>
      <c r="AZ10" s="134">
        <v>6</v>
      </c>
      <c r="BA10" s="134">
        <v>7</v>
      </c>
      <c r="BB10" s="134">
        <v>8</v>
      </c>
      <c r="BC10" s="134">
        <v>10</v>
      </c>
      <c r="BD10" s="134">
        <v>11</v>
      </c>
      <c r="BE10" s="139"/>
      <c r="BF10" s="139"/>
      <c r="BG10" s="139"/>
      <c r="BH10" s="139"/>
    </row>
    <row r="11" spans="1:60" ht="24" customHeight="1" x14ac:dyDescent="0.3">
      <c r="A11" s="128">
        <v>26</v>
      </c>
      <c r="B11" s="128">
        <v>50</v>
      </c>
      <c r="C11" s="144" t="s">
        <v>89</v>
      </c>
      <c r="D11" s="141" t="s">
        <v>18</v>
      </c>
      <c r="E11" s="134" t="s">
        <v>19</v>
      </c>
      <c r="F11" s="134" t="s">
        <v>19</v>
      </c>
      <c r="G11" s="134" t="s">
        <v>22</v>
      </c>
      <c r="H11" s="134" t="s">
        <v>22</v>
      </c>
      <c r="I11" s="134" t="s">
        <v>24</v>
      </c>
      <c r="J11" s="143" t="s">
        <v>26</v>
      </c>
      <c r="K11" s="133" t="s">
        <v>24</v>
      </c>
      <c r="L11" s="134">
        <v>8</v>
      </c>
      <c r="M11" s="136" t="s">
        <v>82</v>
      </c>
      <c r="N11" s="136" t="s">
        <v>82</v>
      </c>
      <c r="O11" s="136" t="s">
        <v>82</v>
      </c>
      <c r="P11" s="136" t="s">
        <v>82</v>
      </c>
      <c r="Q11" s="135" t="s">
        <v>82</v>
      </c>
      <c r="R11" s="135" t="s">
        <v>82</v>
      </c>
      <c r="S11" s="135" t="s">
        <v>82</v>
      </c>
      <c r="T11" s="135" t="s">
        <v>82</v>
      </c>
      <c r="U11" s="135" t="s">
        <v>82</v>
      </c>
      <c r="V11" s="135" t="s">
        <v>82</v>
      </c>
      <c r="W11" s="135" t="s">
        <v>82</v>
      </c>
      <c r="X11" s="135" t="s">
        <v>82</v>
      </c>
      <c r="Y11" s="135" t="s">
        <v>82</v>
      </c>
      <c r="Z11" s="135" t="s">
        <v>82</v>
      </c>
      <c r="AA11" s="135" t="s">
        <v>82</v>
      </c>
      <c r="AB11" s="135" t="s">
        <v>82</v>
      </c>
      <c r="AC11" s="135" t="s">
        <v>82</v>
      </c>
      <c r="AD11" s="135" t="s">
        <v>82</v>
      </c>
      <c r="AE11" s="135" t="s">
        <v>82</v>
      </c>
      <c r="AF11" s="135" t="s">
        <v>82</v>
      </c>
      <c r="AG11" s="135" t="s">
        <v>82</v>
      </c>
      <c r="AH11" s="135" t="s">
        <v>82</v>
      </c>
      <c r="AI11" s="135" t="s">
        <v>82</v>
      </c>
      <c r="AJ11" s="135" t="s">
        <v>82</v>
      </c>
      <c r="AK11" s="144">
        <v>0</v>
      </c>
      <c r="AL11" s="133">
        <v>1</v>
      </c>
      <c r="AM11" s="136" t="s">
        <v>76</v>
      </c>
      <c r="AN11" s="136" t="s">
        <v>76</v>
      </c>
      <c r="AO11" s="135" t="s">
        <v>82</v>
      </c>
      <c r="AP11" s="135" t="s">
        <v>82</v>
      </c>
      <c r="AQ11" s="134">
        <v>1</v>
      </c>
      <c r="AR11" s="134">
        <v>2</v>
      </c>
      <c r="AS11" s="134">
        <v>3</v>
      </c>
      <c r="AT11" s="134">
        <v>4</v>
      </c>
      <c r="AU11" s="134">
        <v>3</v>
      </c>
      <c r="AV11" s="134">
        <v>4</v>
      </c>
      <c r="AW11" s="134">
        <v>5</v>
      </c>
      <c r="AX11" s="134">
        <v>6</v>
      </c>
      <c r="AY11" s="134">
        <v>7</v>
      </c>
      <c r="AZ11" s="134">
        <v>8</v>
      </c>
      <c r="BA11" s="134">
        <v>10</v>
      </c>
      <c r="BB11" s="134">
        <v>11</v>
      </c>
      <c r="BC11" s="134">
        <v>14</v>
      </c>
      <c r="BD11" s="134">
        <v>15</v>
      </c>
      <c r="BE11" s="139"/>
      <c r="BF11" s="139"/>
      <c r="BG11" s="139"/>
      <c r="BH11" s="139"/>
    </row>
    <row r="12" spans="1:60" ht="24" customHeight="1" x14ac:dyDescent="0.3">
      <c r="A12" s="128">
        <v>51</v>
      </c>
      <c r="B12" s="128">
        <v>90</v>
      </c>
      <c r="C12" s="144" t="s">
        <v>90</v>
      </c>
      <c r="D12" s="145" t="s">
        <v>19</v>
      </c>
      <c r="E12" s="134" t="s">
        <v>19</v>
      </c>
      <c r="F12" s="134" t="s">
        <v>22</v>
      </c>
      <c r="G12" s="134" t="s">
        <v>22</v>
      </c>
      <c r="H12" s="134" t="s">
        <v>22</v>
      </c>
      <c r="I12" s="134" t="s">
        <v>26</v>
      </c>
      <c r="J12" s="143" t="s">
        <v>28</v>
      </c>
      <c r="K12" s="133" t="s">
        <v>26</v>
      </c>
      <c r="L12" s="134">
        <v>13</v>
      </c>
      <c r="M12" s="136" t="s">
        <v>82</v>
      </c>
      <c r="N12" s="136" t="s">
        <v>82</v>
      </c>
      <c r="O12" s="136" t="s">
        <v>82</v>
      </c>
      <c r="P12" s="136" t="s">
        <v>82</v>
      </c>
      <c r="Q12" s="135" t="s">
        <v>82</v>
      </c>
      <c r="R12" s="135" t="s">
        <v>82</v>
      </c>
      <c r="S12" s="135" t="s">
        <v>82</v>
      </c>
      <c r="T12" s="135" t="s">
        <v>82</v>
      </c>
      <c r="U12" s="135" t="s">
        <v>82</v>
      </c>
      <c r="V12" s="135" t="s">
        <v>82</v>
      </c>
      <c r="W12" s="135" t="s">
        <v>82</v>
      </c>
      <c r="X12" s="135" t="s">
        <v>82</v>
      </c>
      <c r="Y12" s="135" t="s">
        <v>82</v>
      </c>
      <c r="Z12" s="135" t="s">
        <v>82</v>
      </c>
      <c r="AA12" s="135" t="s">
        <v>82</v>
      </c>
      <c r="AB12" s="135" t="s">
        <v>82</v>
      </c>
      <c r="AC12" s="135" t="s">
        <v>82</v>
      </c>
      <c r="AD12" s="135" t="s">
        <v>82</v>
      </c>
      <c r="AE12" s="135" t="s">
        <v>82</v>
      </c>
      <c r="AF12" s="135" t="s">
        <v>82</v>
      </c>
      <c r="AG12" s="135" t="s">
        <v>82</v>
      </c>
      <c r="AH12" s="135" t="s">
        <v>82</v>
      </c>
      <c r="AI12" s="144">
        <v>0</v>
      </c>
      <c r="AJ12" s="133">
        <v>1</v>
      </c>
      <c r="AK12" s="136" t="s">
        <v>76</v>
      </c>
      <c r="AL12" s="136" t="s">
        <v>85</v>
      </c>
      <c r="AM12" s="135" t="s">
        <v>82</v>
      </c>
      <c r="AN12" s="135" t="s">
        <v>82</v>
      </c>
      <c r="AO12" s="134">
        <v>1</v>
      </c>
      <c r="AP12" s="134">
        <v>2</v>
      </c>
      <c r="AQ12" s="134">
        <v>2</v>
      </c>
      <c r="AR12" s="134">
        <v>3</v>
      </c>
      <c r="AS12" s="134">
        <v>3</v>
      </c>
      <c r="AT12" s="134">
        <v>4</v>
      </c>
      <c r="AU12" s="134">
        <v>5</v>
      </c>
      <c r="AV12" s="134">
        <v>6</v>
      </c>
      <c r="AW12" s="134">
        <v>7</v>
      </c>
      <c r="AX12" s="134">
        <v>8</v>
      </c>
      <c r="AY12" s="134">
        <v>10</v>
      </c>
      <c r="AZ12" s="134">
        <v>11</v>
      </c>
      <c r="BA12" s="134">
        <v>14</v>
      </c>
      <c r="BB12" s="134">
        <v>15</v>
      </c>
      <c r="BC12" s="134">
        <v>21</v>
      </c>
      <c r="BD12" s="134">
        <v>22</v>
      </c>
      <c r="BE12" s="139"/>
      <c r="BF12" s="139"/>
      <c r="BG12" s="139"/>
      <c r="BH12" s="139"/>
    </row>
    <row r="13" spans="1:60" ht="24" customHeight="1" x14ac:dyDescent="0.3">
      <c r="A13" s="128">
        <v>91</v>
      </c>
      <c r="B13" s="128">
        <v>150</v>
      </c>
      <c r="C13" s="144" t="s">
        <v>91</v>
      </c>
      <c r="D13" s="145" t="s">
        <v>19</v>
      </c>
      <c r="E13" s="134" t="s">
        <v>19</v>
      </c>
      <c r="F13" s="134" t="s">
        <v>22</v>
      </c>
      <c r="G13" s="134" t="s">
        <v>24</v>
      </c>
      <c r="H13" s="134" t="s">
        <v>24</v>
      </c>
      <c r="I13" s="134" t="s">
        <v>28</v>
      </c>
      <c r="J13" s="143" t="s">
        <v>30</v>
      </c>
      <c r="K13" s="133" t="s">
        <v>28</v>
      </c>
      <c r="L13" s="134">
        <v>20</v>
      </c>
      <c r="M13" s="136" t="s">
        <v>82</v>
      </c>
      <c r="N13" s="136" t="s">
        <v>82</v>
      </c>
      <c r="O13" s="136" t="s">
        <v>82</v>
      </c>
      <c r="P13" s="136" t="s">
        <v>82</v>
      </c>
      <c r="Q13" s="135" t="s">
        <v>82</v>
      </c>
      <c r="R13" s="135" t="s">
        <v>82</v>
      </c>
      <c r="S13" s="135" t="s">
        <v>82</v>
      </c>
      <c r="T13" s="135" t="s">
        <v>82</v>
      </c>
      <c r="U13" s="135" t="s">
        <v>82</v>
      </c>
      <c r="V13" s="135" t="s">
        <v>82</v>
      </c>
      <c r="W13" s="135" t="s">
        <v>82</v>
      </c>
      <c r="X13" s="135" t="s">
        <v>82</v>
      </c>
      <c r="Y13" s="135" t="s">
        <v>82</v>
      </c>
      <c r="Z13" s="135" t="s">
        <v>82</v>
      </c>
      <c r="AA13" s="135" t="s">
        <v>82</v>
      </c>
      <c r="AB13" s="135" t="s">
        <v>82</v>
      </c>
      <c r="AC13" s="135" t="s">
        <v>82</v>
      </c>
      <c r="AD13" s="135" t="s">
        <v>82</v>
      </c>
      <c r="AE13" s="135" t="s">
        <v>82</v>
      </c>
      <c r="AF13" s="135" t="s">
        <v>82</v>
      </c>
      <c r="AG13" s="144">
        <v>0</v>
      </c>
      <c r="AH13" s="133">
        <v>1</v>
      </c>
      <c r="AI13" s="136" t="s">
        <v>76</v>
      </c>
      <c r="AJ13" s="136" t="s">
        <v>76</v>
      </c>
      <c r="AK13" s="135" t="s">
        <v>82</v>
      </c>
      <c r="AL13" s="135" t="s">
        <v>82</v>
      </c>
      <c r="AM13" s="134">
        <v>1</v>
      </c>
      <c r="AN13" s="134">
        <v>2</v>
      </c>
      <c r="AO13" s="134">
        <v>2</v>
      </c>
      <c r="AP13" s="134">
        <v>3</v>
      </c>
      <c r="AQ13" s="134">
        <v>3</v>
      </c>
      <c r="AR13" s="134">
        <v>4</v>
      </c>
      <c r="AS13" s="134">
        <v>5</v>
      </c>
      <c r="AT13" s="134">
        <v>6</v>
      </c>
      <c r="AU13" s="134">
        <v>7</v>
      </c>
      <c r="AV13" s="134">
        <v>8</v>
      </c>
      <c r="AW13" s="134">
        <v>10</v>
      </c>
      <c r="AX13" s="134">
        <v>11</v>
      </c>
      <c r="AY13" s="134">
        <v>14</v>
      </c>
      <c r="AZ13" s="134">
        <v>15</v>
      </c>
      <c r="BA13" s="134">
        <v>21</v>
      </c>
      <c r="BB13" s="134">
        <v>22</v>
      </c>
      <c r="BC13" s="136" t="s">
        <v>76</v>
      </c>
      <c r="BD13" s="136" t="s">
        <v>76</v>
      </c>
      <c r="BE13" s="139"/>
      <c r="BF13" s="139"/>
      <c r="BG13" s="139"/>
      <c r="BH13" s="139"/>
    </row>
    <row r="14" spans="1:60" ht="24" customHeight="1" x14ac:dyDescent="0.3">
      <c r="A14" s="128">
        <v>151</v>
      </c>
      <c r="B14" s="128">
        <v>280</v>
      </c>
      <c r="C14" s="144" t="s">
        <v>92</v>
      </c>
      <c r="D14" s="145" t="s">
        <v>19</v>
      </c>
      <c r="E14" s="134" t="s">
        <v>22</v>
      </c>
      <c r="F14" s="134" t="s">
        <v>24</v>
      </c>
      <c r="G14" s="134" t="s">
        <v>26</v>
      </c>
      <c r="H14" s="134" t="s">
        <v>26</v>
      </c>
      <c r="I14" s="134" t="s">
        <v>30</v>
      </c>
      <c r="J14" s="143" t="s">
        <v>32</v>
      </c>
      <c r="K14" s="133" t="s">
        <v>30</v>
      </c>
      <c r="L14" s="134">
        <v>32</v>
      </c>
      <c r="M14" s="136" t="s">
        <v>82</v>
      </c>
      <c r="N14" s="136" t="s">
        <v>82</v>
      </c>
      <c r="O14" s="136" t="s">
        <v>82</v>
      </c>
      <c r="P14" s="136" t="s">
        <v>82</v>
      </c>
      <c r="Q14" s="135" t="s">
        <v>82</v>
      </c>
      <c r="R14" s="135" t="s">
        <v>82</v>
      </c>
      <c r="S14" s="135" t="s">
        <v>82</v>
      </c>
      <c r="T14" s="135" t="s">
        <v>82</v>
      </c>
      <c r="U14" s="135" t="s">
        <v>82</v>
      </c>
      <c r="V14" s="135" t="s">
        <v>82</v>
      </c>
      <c r="W14" s="135" t="s">
        <v>82</v>
      </c>
      <c r="X14" s="135" t="s">
        <v>82</v>
      </c>
      <c r="Y14" s="135" t="s">
        <v>82</v>
      </c>
      <c r="Z14" s="135" t="s">
        <v>82</v>
      </c>
      <c r="AA14" s="135" t="s">
        <v>82</v>
      </c>
      <c r="AB14" s="135" t="s">
        <v>82</v>
      </c>
      <c r="AC14" s="135" t="s">
        <v>82</v>
      </c>
      <c r="AD14" s="135" t="s">
        <v>82</v>
      </c>
      <c r="AE14" s="144">
        <v>0</v>
      </c>
      <c r="AF14" s="133">
        <v>1</v>
      </c>
      <c r="AG14" s="146" t="s">
        <v>76</v>
      </c>
      <c r="AH14" s="146" t="s">
        <v>76</v>
      </c>
      <c r="AI14" s="135" t="s">
        <v>82</v>
      </c>
      <c r="AJ14" s="135" t="s">
        <v>82</v>
      </c>
      <c r="AK14" s="134">
        <v>1</v>
      </c>
      <c r="AL14" s="134">
        <v>2</v>
      </c>
      <c r="AM14" s="134">
        <v>2</v>
      </c>
      <c r="AN14" s="134">
        <v>3</v>
      </c>
      <c r="AO14" s="134">
        <v>3</v>
      </c>
      <c r="AP14" s="134">
        <v>4</v>
      </c>
      <c r="AQ14" s="134">
        <v>5</v>
      </c>
      <c r="AR14" s="134">
        <v>6</v>
      </c>
      <c r="AS14" s="134">
        <v>7</v>
      </c>
      <c r="AT14" s="134">
        <v>8</v>
      </c>
      <c r="AU14" s="134">
        <v>10</v>
      </c>
      <c r="AV14" s="134">
        <v>11</v>
      </c>
      <c r="AW14" s="134">
        <v>14</v>
      </c>
      <c r="AX14" s="134">
        <v>15</v>
      </c>
      <c r="AY14" s="134">
        <v>21</v>
      </c>
      <c r="AZ14" s="134">
        <v>22</v>
      </c>
      <c r="BA14" s="136" t="s">
        <v>76</v>
      </c>
      <c r="BB14" s="136" t="s">
        <v>76</v>
      </c>
      <c r="BC14" s="136" t="s">
        <v>76</v>
      </c>
      <c r="BD14" s="136" t="s">
        <v>76</v>
      </c>
      <c r="BE14" s="139"/>
      <c r="BF14" s="139"/>
      <c r="BG14" s="139"/>
      <c r="BH14" s="139"/>
    </row>
    <row r="15" spans="1:60" ht="24" customHeight="1" x14ac:dyDescent="0.3">
      <c r="A15" s="128">
        <v>281</v>
      </c>
      <c r="B15" s="128">
        <v>500</v>
      </c>
      <c r="C15" s="144" t="s">
        <v>93</v>
      </c>
      <c r="D15" s="145" t="s">
        <v>19</v>
      </c>
      <c r="E15" s="134" t="s">
        <v>22</v>
      </c>
      <c r="F15" s="134" t="s">
        <v>24</v>
      </c>
      <c r="G15" s="134" t="s">
        <v>26</v>
      </c>
      <c r="H15" s="134" t="s">
        <v>28</v>
      </c>
      <c r="I15" s="134" t="s">
        <v>32</v>
      </c>
      <c r="J15" s="143" t="s">
        <v>34</v>
      </c>
      <c r="K15" s="133" t="s">
        <v>32</v>
      </c>
      <c r="L15" s="52">
        <v>50</v>
      </c>
      <c r="M15" s="136" t="s">
        <v>82</v>
      </c>
      <c r="N15" s="136" t="s">
        <v>82</v>
      </c>
      <c r="O15" s="136" t="s">
        <v>82</v>
      </c>
      <c r="P15" s="136" t="s">
        <v>82</v>
      </c>
      <c r="Q15" s="135" t="s">
        <v>82</v>
      </c>
      <c r="R15" s="135" t="s">
        <v>82</v>
      </c>
      <c r="S15" s="135" t="s">
        <v>82</v>
      </c>
      <c r="T15" s="135" t="s">
        <v>82</v>
      </c>
      <c r="U15" s="135" t="s">
        <v>82</v>
      </c>
      <c r="V15" s="135" t="s">
        <v>82</v>
      </c>
      <c r="W15" s="135" t="s">
        <v>82</v>
      </c>
      <c r="X15" s="135" t="s">
        <v>82</v>
      </c>
      <c r="Y15" s="135" t="s">
        <v>82</v>
      </c>
      <c r="Z15" s="135" t="s">
        <v>82</v>
      </c>
      <c r="AA15" s="135" t="s">
        <v>82</v>
      </c>
      <c r="AB15" s="135" t="s">
        <v>82</v>
      </c>
      <c r="AC15" s="144">
        <v>0</v>
      </c>
      <c r="AD15" s="133">
        <v>1</v>
      </c>
      <c r="AE15" s="136" t="s">
        <v>76</v>
      </c>
      <c r="AF15" s="136" t="s">
        <v>76</v>
      </c>
      <c r="AG15" s="135" t="s">
        <v>82</v>
      </c>
      <c r="AH15" s="135" t="s">
        <v>82</v>
      </c>
      <c r="AI15" s="134">
        <v>1</v>
      </c>
      <c r="AJ15" s="134">
        <v>2</v>
      </c>
      <c r="AK15" s="158">
        <v>2</v>
      </c>
      <c r="AL15" s="158">
        <v>3</v>
      </c>
      <c r="AM15" s="134">
        <v>3</v>
      </c>
      <c r="AN15" s="134">
        <v>4</v>
      </c>
      <c r="AO15" s="134">
        <v>5</v>
      </c>
      <c r="AP15" s="134">
        <v>6</v>
      </c>
      <c r="AQ15" s="134">
        <v>7</v>
      </c>
      <c r="AR15" s="134">
        <v>8</v>
      </c>
      <c r="AS15" s="134">
        <v>10</v>
      </c>
      <c r="AT15" s="134">
        <v>11</v>
      </c>
      <c r="AU15" s="134">
        <v>14</v>
      </c>
      <c r="AV15" s="134">
        <v>15</v>
      </c>
      <c r="AW15" s="134">
        <v>21</v>
      </c>
      <c r="AX15" s="134">
        <v>22</v>
      </c>
      <c r="AY15" s="136" t="s">
        <v>76</v>
      </c>
      <c r="AZ15" s="136" t="s">
        <v>76</v>
      </c>
      <c r="BA15" s="136" t="s">
        <v>76</v>
      </c>
      <c r="BB15" s="136" t="s">
        <v>76</v>
      </c>
      <c r="BC15" s="136" t="s">
        <v>76</v>
      </c>
      <c r="BD15" s="136" t="s">
        <v>76</v>
      </c>
      <c r="BE15" s="139"/>
      <c r="BF15" s="139"/>
      <c r="BG15" s="139"/>
      <c r="BH15" s="139"/>
    </row>
    <row r="16" spans="1:60" ht="24" customHeight="1" x14ac:dyDescent="0.3">
      <c r="A16" s="128">
        <v>501</v>
      </c>
      <c r="B16" s="128">
        <v>1200</v>
      </c>
      <c r="C16" s="144" t="s">
        <v>94</v>
      </c>
      <c r="D16" s="145" t="s">
        <v>22</v>
      </c>
      <c r="E16" s="134" t="s">
        <v>22</v>
      </c>
      <c r="F16" s="134" t="s">
        <v>26</v>
      </c>
      <c r="G16" s="134" t="s">
        <v>28</v>
      </c>
      <c r="H16" s="134" t="s">
        <v>30</v>
      </c>
      <c r="I16" s="134" t="s">
        <v>34</v>
      </c>
      <c r="J16" s="143" t="s">
        <v>36</v>
      </c>
      <c r="K16" s="133" t="s">
        <v>34</v>
      </c>
      <c r="L16" s="134">
        <v>80</v>
      </c>
      <c r="M16" s="136" t="s">
        <v>82</v>
      </c>
      <c r="N16" s="136" t="s">
        <v>82</v>
      </c>
      <c r="O16" s="136" t="s">
        <v>82</v>
      </c>
      <c r="P16" s="136" t="s">
        <v>82</v>
      </c>
      <c r="Q16" s="135" t="s">
        <v>82</v>
      </c>
      <c r="R16" s="135" t="s">
        <v>82</v>
      </c>
      <c r="S16" s="135" t="s">
        <v>82</v>
      </c>
      <c r="T16" s="135" t="s">
        <v>82</v>
      </c>
      <c r="U16" s="135" t="s">
        <v>82</v>
      </c>
      <c r="V16" s="135" t="s">
        <v>82</v>
      </c>
      <c r="W16" s="135" t="s">
        <v>82</v>
      </c>
      <c r="X16" s="135" t="s">
        <v>82</v>
      </c>
      <c r="Y16" s="135" t="s">
        <v>82</v>
      </c>
      <c r="Z16" s="135" t="s">
        <v>82</v>
      </c>
      <c r="AA16" s="144">
        <v>0</v>
      </c>
      <c r="AB16" s="133">
        <v>1</v>
      </c>
      <c r="AC16" s="136" t="s">
        <v>76</v>
      </c>
      <c r="AD16" s="136" t="s">
        <v>76</v>
      </c>
      <c r="AE16" s="135" t="s">
        <v>82</v>
      </c>
      <c r="AF16" s="135" t="s">
        <v>82</v>
      </c>
      <c r="AG16" s="134">
        <v>1</v>
      </c>
      <c r="AH16" s="134">
        <v>2</v>
      </c>
      <c r="AI16" s="134">
        <v>2</v>
      </c>
      <c r="AJ16" s="134">
        <v>3</v>
      </c>
      <c r="AK16" s="134">
        <v>3</v>
      </c>
      <c r="AL16" s="134">
        <v>4</v>
      </c>
      <c r="AM16" s="134">
        <v>5</v>
      </c>
      <c r="AN16" s="134">
        <v>6</v>
      </c>
      <c r="AO16" s="134">
        <v>7</v>
      </c>
      <c r="AP16" s="134">
        <v>8</v>
      </c>
      <c r="AQ16" s="134">
        <v>10</v>
      </c>
      <c r="AR16" s="134">
        <v>11</v>
      </c>
      <c r="AS16" s="134">
        <v>14</v>
      </c>
      <c r="AT16" s="134">
        <v>15</v>
      </c>
      <c r="AU16" s="134">
        <v>21</v>
      </c>
      <c r="AV16" s="134">
        <v>22</v>
      </c>
      <c r="AW16" s="136" t="s">
        <v>76</v>
      </c>
      <c r="AX16" s="136" t="s">
        <v>76</v>
      </c>
      <c r="AY16" s="136" t="s">
        <v>76</v>
      </c>
      <c r="AZ16" s="136" t="s">
        <v>76</v>
      </c>
      <c r="BA16" s="136" t="s">
        <v>76</v>
      </c>
      <c r="BB16" s="136" t="s">
        <v>76</v>
      </c>
      <c r="BC16" s="136" t="s">
        <v>76</v>
      </c>
      <c r="BD16" s="136" t="s">
        <v>76</v>
      </c>
      <c r="BE16" s="139"/>
      <c r="BF16" s="139"/>
      <c r="BG16" s="139"/>
      <c r="BH16" s="139"/>
    </row>
    <row r="17" spans="1:60" ht="24" customHeight="1" x14ac:dyDescent="0.3">
      <c r="A17" s="128">
        <v>1201</v>
      </c>
      <c r="B17" s="128">
        <v>3200</v>
      </c>
      <c r="C17" s="144" t="s">
        <v>95</v>
      </c>
      <c r="D17" s="145" t="s">
        <v>22</v>
      </c>
      <c r="E17" s="134" t="s">
        <v>24</v>
      </c>
      <c r="F17" s="134" t="s">
        <v>26</v>
      </c>
      <c r="G17" s="134" t="s">
        <v>30</v>
      </c>
      <c r="H17" s="54" t="s">
        <v>32</v>
      </c>
      <c r="I17" s="134" t="s">
        <v>36</v>
      </c>
      <c r="J17" s="143" t="s">
        <v>38</v>
      </c>
      <c r="K17" s="133" t="s">
        <v>36</v>
      </c>
      <c r="L17" s="134">
        <v>125</v>
      </c>
      <c r="M17" s="136" t="s">
        <v>82</v>
      </c>
      <c r="N17" s="136" t="s">
        <v>82</v>
      </c>
      <c r="O17" s="136" t="s">
        <v>82</v>
      </c>
      <c r="P17" s="136" t="s">
        <v>82</v>
      </c>
      <c r="Q17" s="135" t="s">
        <v>82</v>
      </c>
      <c r="R17" s="135" t="s">
        <v>82</v>
      </c>
      <c r="S17" s="135" t="s">
        <v>82</v>
      </c>
      <c r="T17" s="135" t="s">
        <v>82</v>
      </c>
      <c r="U17" s="135" t="s">
        <v>82</v>
      </c>
      <c r="V17" s="135" t="s">
        <v>82</v>
      </c>
      <c r="W17" s="135" t="s">
        <v>82</v>
      </c>
      <c r="X17" s="135" t="s">
        <v>82</v>
      </c>
      <c r="Y17" s="144">
        <v>0</v>
      </c>
      <c r="Z17" s="133">
        <v>1</v>
      </c>
      <c r="AA17" s="136" t="s">
        <v>76</v>
      </c>
      <c r="AB17" s="136" t="s">
        <v>76</v>
      </c>
      <c r="AC17" s="135" t="s">
        <v>82</v>
      </c>
      <c r="AD17" s="135" t="s">
        <v>82</v>
      </c>
      <c r="AE17" s="134">
        <v>1</v>
      </c>
      <c r="AF17" s="134">
        <v>2</v>
      </c>
      <c r="AG17" s="134">
        <v>2</v>
      </c>
      <c r="AH17" s="134">
        <v>3</v>
      </c>
      <c r="AI17" s="134">
        <v>3</v>
      </c>
      <c r="AJ17" s="134">
        <v>4</v>
      </c>
      <c r="AK17" s="134">
        <v>5</v>
      </c>
      <c r="AL17" s="134">
        <v>6</v>
      </c>
      <c r="AM17" s="134">
        <v>7</v>
      </c>
      <c r="AN17" s="134">
        <v>8</v>
      </c>
      <c r="AO17" s="134">
        <v>10</v>
      </c>
      <c r="AP17" s="134">
        <v>11</v>
      </c>
      <c r="AQ17" s="134">
        <v>14</v>
      </c>
      <c r="AR17" s="134">
        <v>15</v>
      </c>
      <c r="AS17" s="134">
        <v>21</v>
      </c>
      <c r="AT17" s="134">
        <v>22</v>
      </c>
      <c r="AU17" s="136" t="s">
        <v>76</v>
      </c>
      <c r="AV17" s="136" t="s">
        <v>76</v>
      </c>
      <c r="AW17" s="136" t="s">
        <v>76</v>
      </c>
      <c r="AX17" s="136" t="s">
        <v>76</v>
      </c>
      <c r="AY17" s="136" t="s">
        <v>76</v>
      </c>
      <c r="AZ17" s="136" t="s">
        <v>76</v>
      </c>
      <c r="BA17" s="136" t="s">
        <v>76</v>
      </c>
      <c r="BB17" s="136" t="s">
        <v>76</v>
      </c>
      <c r="BC17" s="136" t="s">
        <v>76</v>
      </c>
      <c r="BD17" s="136" t="s">
        <v>76</v>
      </c>
      <c r="BE17" s="139"/>
      <c r="BF17" s="139"/>
      <c r="BG17" s="139"/>
      <c r="BH17" s="139"/>
    </row>
    <row r="18" spans="1:60" ht="24" customHeight="1" x14ac:dyDescent="0.3">
      <c r="A18" s="128">
        <v>3201</v>
      </c>
      <c r="B18" s="128">
        <v>10000</v>
      </c>
      <c r="C18" s="144" t="s">
        <v>96</v>
      </c>
      <c r="D18" s="145" t="s">
        <v>22</v>
      </c>
      <c r="E18" s="134" t="s">
        <v>24</v>
      </c>
      <c r="F18" s="134" t="s">
        <v>28</v>
      </c>
      <c r="G18" s="134" t="s">
        <v>30</v>
      </c>
      <c r="H18" s="134" t="s">
        <v>34</v>
      </c>
      <c r="I18" s="134" t="s">
        <v>38</v>
      </c>
      <c r="J18" s="143" t="s">
        <v>40</v>
      </c>
      <c r="K18" s="133" t="s">
        <v>38</v>
      </c>
      <c r="L18" s="134">
        <v>200</v>
      </c>
      <c r="M18" s="136" t="s">
        <v>82</v>
      </c>
      <c r="N18" s="136" t="s">
        <v>82</v>
      </c>
      <c r="O18" s="136" t="s">
        <v>82</v>
      </c>
      <c r="P18" s="136" t="s">
        <v>82</v>
      </c>
      <c r="Q18" s="135" t="s">
        <v>82</v>
      </c>
      <c r="R18" s="135" t="s">
        <v>82</v>
      </c>
      <c r="S18" s="135" t="s">
        <v>82</v>
      </c>
      <c r="T18" s="135" t="s">
        <v>82</v>
      </c>
      <c r="U18" s="135" t="s">
        <v>82</v>
      </c>
      <c r="V18" s="135" t="s">
        <v>82</v>
      </c>
      <c r="W18" s="144">
        <v>0</v>
      </c>
      <c r="X18" s="133">
        <v>1</v>
      </c>
      <c r="Y18" s="136" t="s">
        <v>76</v>
      </c>
      <c r="Z18" s="136" t="s">
        <v>76</v>
      </c>
      <c r="AA18" s="135" t="s">
        <v>82</v>
      </c>
      <c r="AB18" s="135" t="s">
        <v>82</v>
      </c>
      <c r="AC18" s="134">
        <v>1</v>
      </c>
      <c r="AD18" s="134">
        <v>2</v>
      </c>
      <c r="AE18" s="134">
        <v>2</v>
      </c>
      <c r="AF18" s="134">
        <v>3</v>
      </c>
      <c r="AG18" s="134">
        <v>3</v>
      </c>
      <c r="AH18" s="134">
        <v>4</v>
      </c>
      <c r="AI18" s="134">
        <v>5</v>
      </c>
      <c r="AJ18" s="134">
        <v>6</v>
      </c>
      <c r="AK18" s="134">
        <v>7</v>
      </c>
      <c r="AL18" s="134">
        <v>8</v>
      </c>
      <c r="AM18" s="134">
        <v>10</v>
      </c>
      <c r="AN18" s="134">
        <v>11</v>
      </c>
      <c r="AO18" s="134">
        <v>14</v>
      </c>
      <c r="AP18" s="134">
        <v>15</v>
      </c>
      <c r="AQ18" s="134">
        <v>21</v>
      </c>
      <c r="AR18" s="134">
        <v>22</v>
      </c>
      <c r="AS18" s="136" t="s">
        <v>76</v>
      </c>
      <c r="AT18" s="136" t="s">
        <v>76</v>
      </c>
      <c r="AU18" s="136" t="s">
        <v>76</v>
      </c>
      <c r="AV18" s="136" t="s">
        <v>76</v>
      </c>
      <c r="AW18" s="136" t="s">
        <v>76</v>
      </c>
      <c r="AX18" s="136" t="s">
        <v>76</v>
      </c>
      <c r="AY18" s="136" t="s">
        <v>76</v>
      </c>
      <c r="AZ18" s="136" t="s">
        <v>76</v>
      </c>
      <c r="BA18" s="136" t="s">
        <v>76</v>
      </c>
      <c r="BB18" s="136" t="s">
        <v>76</v>
      </c>
      <c r="BC18" s="136" t="s">
        <v>76</v>
      </c>
      <c r="BD18" s="136" t="s">
        <v>76</v>
      </c>
      <c r="BE18" s="139"/>
      <c r="BF18" s="139"/>
      <c r="BG18" s="139"/>
      <c r="BH18" s="139"/>
    </row>
    <row r="19" spans="1:60" ht="24" customHeight="1" x14ac:dyDescent="0.3">
      <c r="A19" s="128">
        <v>10001</v>
      </c>
      <c r="B19" s="128">
        <v>35000</v>
      </c>
      <c r="C19" s="144" t="s">
        <v>97</v>
      </c>
      <c r="D19" s="145" t="s">
        <v>22</v>
      </c>
      <c r="E19" s="134" t="s">
        <v>24</v>
      </c>
      <c r="F19" s="134" t="s">
        <v>28</v>
      </c>
      <c r="G19" s="134" t="s">
        <v>32</v>
      </c>
      <c r="H19" s="134" t="s">
        <v>36</v>
      </c>
      <c r="I19" s="134" t="s">
        <v>40</v>
      </c>
      <c r="J19" s="143" t="s">
        <v>42</v>
      </c>
      <c r="K19" s="133" t="s">
        <v>40</v>
      </c>
      <c r="L19" s="134">
        <v>315</v>
      </c>
      <c r="M19" s="136" t="s">
        <v>82</v>
      </c>
      <c r="N19" s="136" t="s">
        <v>82</v>
      </c>
      <c r="O19" s="136" t="s">
        <v>82</v>
      </c>
      <c r="P19" s="136" t="s">
        <v>82</v>
      </c>
      <c r="Q19" s="135" t="s">
        <v>82</v>
      </c>
      <c r="R19" s="135" t="s">
        <v>82</v>
      </c>
      <c r="S19" s="135" t="s">
        <v>82</v>
      </c>
      <c r="T19" s="135" t="s">
        <v>82</v>
      </c>
      <c r="U19" s="144">
        <v>0</v>
      </c>
      <c r="V19" s="133">
        <v>1</v>
      </c>
      <c r="W19" s="136" t="s">
        <v>76</v>
      </c>
      <c r="X19" s="136" t="s">
        <v>76</v>
      </c>
      <c r="Y19" s="135" t="s">
        <v>82</v>
      </c>
      <c r="Z19" s="135" t="s">
        <v>82</v>
      </c>
      <c r="AA19" s="134">
        <v>1</v>
      </c>
      <c r="AB19" s="134">
        <v>2</v>
      </c>
      <c r="AC19" s="134">
        <v>2</v>
      </c>
      <c r="AD19" s="134">
        <v>3</v>
      </c>
      <c r="AE19" s="134">
        <v>3</v>
      </c>
      <c r="AF19" s="134">
        <v>4</v>
      </c>
      <c r="AG19" s="134">
        <v>5</v>
      </c>
      <c r="AH19" s="134">
        <v>6</v>
      </c>
      <c r="AI19" s="134">
        <v>7</v>
      </c>
      <c r="AJ19" s="134">
        <v>8</v>
      </c>
      <c r="AK19" s="134">
        <v>10</v>
      </c>
      <c r="AL19" s="134">
        <v>11</v>
      </c>
      <c r="AM19" s="134">
        <v>14</v>
      </c>
      <c r="AN19" s="134">
        <v>15</v>
      </c>
      <c r="AO19" s="134">
        <v>21</v>
      </c>
      <c r="AP19" s="134">
        <v>22</v>
      </c>
      <c r="AQ19" s="136" t="s">
        <v>76</v>
      </c>
      <c r="AR19" s="136" t="s">
        <v>76</v>
      </c>
      <c r="AS19" s="136" t="s">
        <v>76</v>
      </c>
      <c r="AT19" s="136" t="s">
        <v>76</v>
      </c>
      <c r="AU19" s="136" t="s">
        <v>76</v>
      </c>
      <c r="AV19" s="136" t="s">
        <v>76</v>
      </c>
      <c r="AW19" s="136" t="s">
        <v>76</v>
      </c>
      <c r="AX19" s="136" t="s">
        <v>76</v>
      </c>
      <c r="AY19" s="136" t="s">
        <v>76</v>
      </c>
      <c r="AZ19" s="136" t="s">
        <v>76</v>
      </c>
      <c r="BA19" s="136" t="s">
        <v>76</v>
      </c>
      <c r="BB19" s="136" t="s">
        <v>76</v>
      </c>
      <c r="BC19" s="136" t="s">
        <v>76</v>
      </c>
      <c r="BD19" s="136" t="s">
        <v>76</v>
      </c>
      <c r="BE19" s="139"/>
      <c r="BF19" s="139"/>
      <c r="BG19" s="139"/>
      <c r="BH19" s="139"/>
    </row>
    <row r="20" spans="1:60" ht="24" customHeight="1" x14ac:dyDescent="0.3">
      <c r="A20" s="128">
        <v>35001</v>
      </c>
      <c r="B20" s="128">
        <v>150000</v>
      </c>
      <c r="C20" s="144" t="s">
        <v>98</v>
      </c>
      <c r="D20" s="145" t="s">
        <v>24</v>
      </c>
      <c r="E20" s="134" t="s">
        <v>26</v>
      </c>
      <c r="F20" s="134" t="s">
        <v>30</v>
      </c>
      <c r="G20" s="134" t="s">
        <v>34</v>
      </c>
      <c r="H20" s="134" t="s">
        <v>38</v>
      </c>
      <c r="I20" s="134" t="s">
        <v>42</v>
      </c>
      <c r="J20" s="143" t="s">
        <v>44</v>
      </c>
      <c r="K20" s="133" t="s">
        <v>42</v>
      </c>
      <c r="L20" s="134">
        <v>500</v>
      </c>
      <c r="M20" s="136" t="s">
        <v>82</v>
      </c>
      <c r="N20" s="136" t="s">
        <v>82</v>
      </c>
      <c r="O20" s="136" t="s">
        <v>82</v>
      </c>
      <c r="P20" s="136" t="s">
        <v>82</v>
      </c>
      <c r="Q20" s="135" t="s">
        <v>82</v>
      </c>
      <c r="R20" s="135" t="s">
        <v>82</v>
      </c>
      <c r="S20" s="144">
        <v>0</v>
      </c>
      <c r="T20" s="133">
        <v>1</v>
      </c>
      <c r="U20" s="136" t="s">
        <v>76</v>
      </c>
      <c r="V20" s="136" t="s">
        <v>76</v>
      </c>
      <c r="W20" s="135" t="s">
        <v>82</v>
      </c>
      <c r="X20" s="135" t="s">
        <v>82</v>
      </c>
      <c r="Y20" s="134">
        <v>1</v>
      </c>
      <c r="Z20" s="134">
        <v>2</v>
      </c>
      <c r="AA20" s="134">
        <v>2</v>
      </c>
      <c r="AB20" s="134">
        <v>3</v>
      </c>
      <c r="AC20" s="134">
        <v>3</v>
      </c>
      <c r="AD20" s="134">
        <v>4</v>
      </c>
      <c r="AE20" s="134">
        <v>5</v>
      </c>
      <c r="AF20" s="134">
        <v>6</v>
      </c>
      <c r="AG20" s="134">
        <v>7</v>
      </c>
      <c r="AH20" s="134">
        <v>8</v>
      </c>
      <c r="AI20" s="134">
        <v>10</v>
      </c>
      <c r="AJ20" s="134">
        <v>11</v>
      </c>
      <c r="AK20" s="134">
        <v>14</v>
      </c>
      <c r="AL20" s="134">
        <v>15</v>
      </c>
      <c r="AM20" s="134">
        <v>21</v>
      </c>
      <c r="AN20" s="134">
        <v>22</v>
      </c>
      <c r="AO20" s="136" t="s">
        <v>76</v>
      </c>
      <c r="AP20" s="136" t="s">
        <v>76</v>
      </c>
      <c r="AQ20" s="136" t="s">
        <v>76</v>
      </c>
      <c r="AR20" s="136" t="s">
        <v>76</v>
      </c>
      <c r="AS20" s="136" t="s">
        <v>76</v>
      </c>
      <c r="AT20" s="136" t="s">
        <v>76</v>
      </c>
      <c r="AU20" s="136" t="s">
        <v>76</v>
      </c>
      <c r="AV20" s="136" t="s">
        <v>76</v>
      </c>
      <c r="AW20" s="136" t="s">
        <v>76</v>
      </c>
      <c r="AX20" s="136" t="s">
        <v>76</v>
      </c>
      <c r="AY20" s="136" t="s">
        <v>76</v>
      </c>
      <c r="AZ20" s="136" t="s">
        <v>76</v>
      </c>
      <c r="BA20" s="136" t="s">
        <v>76</v>
      </c>
      <c r="BB20" s="136" t="s">
        <v>76</v>
      </c>
      <c r="BC20" s="136" t="s">
        <v>76</v>
      </c>
      <c r="BD20" s="136" t="s">
        <v>76</v>
      </c>
      <c r="BE20" s="139"/>
      <c r="BF20" s="139"/>
      <c r="BG20" s="139"/>
      <c r="BH20" s="139"/>
    </row>
    <row r="21" spans="1:60" ht="24" customHeight="1" x14ac:dyDescent="0.3">
      <c r="A21" s="128">
        <v>150001</v>
      </c>
      <c r="B21" s="128">
        <v>500000</v>
      </c>
      <c r="C21" s="147" t="s">
        <v>99</v>
      </c>
      <c r="D21" s="145" t="s">
        <v>24</v>
      </c>
      <c r="E21" s="134" t="s">
        <v>26</v>
      </c>
      <c r="F21" s="134" t="s">
        <v>30</v>
      </c>
      <c r="G21" s="134" t="s">
        <v>34</v>
      </c>
      <c r="H21" s="148" t="s">
        <v>40</v>
      </c>
      <c r="I21" s="134" t="s">
        <v>44</v>
      </c>
      <c r="J21" s="149" t="s">
        <v>46</v>
      </c>
      <c r="K21" s="133" t="s">
        <v>44</v>
      </c>
      <c r="L21" s="134">
        <v>800</v>
      </c>
      <c r="M21" s="136" t="s">
        <v>82</v>
      </c>
      <c r="N21" s="136" t="s">
        <v>82</v>
      </c>
      <c r="O21" s="136" t="s">
        <v>82</v>
      </c>
      <c r="P21" s="136" t="s">
        <v>82</v>
      </c>
      <c r="Q21" s="144">
        <v>0</v>
      </c>
      <c r="R21" s="133">
        <v>1</v>
      </c>
      <c r="S21" s="150" t="s">
        <v>76</v>
      </c>
      <c r="T21" s="136" t="s">
        <v>76</v>
      </c>
      <c r="U21" s="135" t="s">
        <v>82</v>
      </c>
      <c r="V21" s="135" t="s">
        <v>82</v>
      </c>
      <c r="W21" s="134">
        <v>1</v>
      </c>
      <c r="X21" s="134">
        <v>2</v>
      </c>
      <c r="Y21" s="134">
        <v>2</v>
      </c>
      <c r="Z21" s="134">
        <v>3</v>
      </c>
      <c r="AA21" s="134">
        <v>3</v>
      </c>
      <c r="AB21" s="134">
        <v>4</v>
      </c>
      <c r="AC21" s="134">
        <v>5</v>
      </c>
      <c r="AD21" s="134">
        <v>6</v>
      </c>
      <c r="AE21" s="134">
        <v>7</v>
      </c>
      <c r="AF21" s="134">
        <v>8</v>
      </c>
      <c r="AG21" s="134">
        <v>10</v>
      </c>
      <c r="AH21" s="134">
        <v>11</v>
      </c>
      <c r="AI21" s="134">
        <v>14</v>
      </c>
      <c r="AJ21" s="134">
        <v>15</v>
      </c>
      <c r="AK21" s="134">
        <v>21</v>
      </c>
      <c r="AL21" s="134">
        <v>22</v>
      </c>
      <c r="AM21" s="136" t="s">
        <v>76</v>
      </c>
      <c r="AN21" s="136" t="s">
        <v>76</v>
      </c>
      <c r="AO21" s="136" t="s">
        <v>76</v>
      </c>
      <c r="AP21" s="136" t="s">
        <v>76</v>
      </c>
      <c r="AQ21" s="136" t="s">
        <v>76</v>
      </c>
      <c r="AR21" s="136" t="s">
        <v>76</v>
      </c>
      <c r="AS21" s="136" t="s">
        <v>76</v>
      </c>
      <c r="AT21" s="136" t="s">
        <v>76</v>
      </c>
      <c r="AU21" s="136" t="s">
        <v>76</v>
      </c>
      <c r="AV21" s="136" t="s">
        <v>76</v>
      </c>
      <c r="AW21" s="136" t="s">
        <v>76</v>
      </c>
      <c r="AX21" s="136" t="s">
        <v>76</v>
      </c>
      <c r="AY21" s="136" t="s">
        <v>76</v>
      </c>
      <c r="AZ21" s="136" t="s">
        <v>76</v>
      </c>
      <c r="BA21" s="136" t="s">
        <v>76</v>
      </c>
      <c r="BB21" s="136" t="s">
        <v>76</v>
      </c>
      <c r="BC21" s="136" t="s">
        <v>76</v>
      </c>
      <c r="BD21" s="136" t="s">
        <v>76</v>
      </c>
      <c r="BE21" s="139"/>
      <c r="BF21" s="139"/>
      <c r="BG21" s="139"/>
      <c r="BH21" s="139"/>
    </row>
    <row r="22" spans="1:60" ht="24" customHeight="1" x14ac:dyDescent="0.3">
      <c r="A22" s="151" t="s">
        <v>81</v>
      </c>
      <c r="B22" s="128"/>
      <c r="C22" s="137" t="s">
        <v>81</v>
      </c>
      <c r="D22" s="152" t="s">
        <v>24</v>
      </c>
      <c r="E22" s="153" t="s">
        <v>26</v>
      </c>
      <c r="F22" s="153" t="s">
        <v>32</v>
      </c>
      <c r="G22" s="153" t="s">
        <v>36</v>
      </c>
      <c r="H22" s="153" t="s">
        <v>42</v>
      </c>
      <c r="I22" s="153" t="s">
        <v>46</v>
      </c>
      <c r="J22" s="154" t="s">
        <v>48</v>
      </c>
      <c r="K22" s="133" t="s">
        <v>46</v>
      </c>
      <c r="L22" s="134">
        <v>1250</v>
      </c>
      <c r="M22" s="155" t="s">
        <v>77</v>
      </c>
      <c r="N22" s="155" t="s">
        <v>77</v>
      </c>
      <c r="O22" s="144">
        <v>0</v>
      </c>
      <c r="P22" s="133">
        <v>1</v>
      </c>
      <c r="Q22" s="156" t="s">
        <v>76</v>
      </c>
      <c r="R22" s="157" t="s">
        <v>76</v>
      </c>
      <c r="S22" s="135" t="s">
        <v>82</v>
      </c>
      <c r="T22" s="135" t="s">
        <v>82</v>
      </c>
      <c r="U22" s="144">
        <v>1</v>
      </c>
      <c r="V22" s="133">
        <v>2</v>
      </c>
      <c r="W22" s="133">
        <v>2</v>
      </c>
      <c r="X22" s="134">
        <v>3</v>
      </c>
      <c r="Y22" s="134">
        <v>3</v>
      </c>
      <c r="Z22" s="134">
        <v>4</v>
      </c>
      <c r="AA22" s="134">
        <v>5</v>
      </c>
      <c r="AB22" s="134">
        <v>6</v>
      </c>
      <c r="AC22" s="134">
        <v>7</v>
      </c>
      <c r="AD22" s="134">
        <v>8</v>
      </c>
      <c r="AE22" s="134">
        <v>10</v>
      </c>
      <c r="AF22" s="134">
        <v>11</v>
      </c>
      <c r="AG22" s="134">
        <v>14</v>
      </c>
      <c r="AH22" s="134">
        <v>15</v>
      </c>
      <c r="AI22" s="134">
        <v>21</v>
      </c>
      <c r="AJ22" s="134">
        <v>22</v>
      </c>
      <c r="AK22" s="136" t="s">
        <v>76</v>
      </c>
      <c r="AL22" s="136" t="s">
        <v>76</v>
      </c>
      <c r="AM22" s="136" t="s">
        <v>76</v>
      </c>
      <c r="AN22" s="136" t="s">
        <v>76</v>
      </c>
      <c r="AO22" s="136" t="s">
        <v>76</v>
      </c>
      <c r="AP22" s="136" t="s">
        <v>76</v>
      </c>
      <c r="AQ22" s="136" t="s">
        <v>76</v>
      </c>
      <c r="AR22" s="136" t="s">
        <v>76</v>
      </c>
      <c r="AS22" s="136" t="s">
        <v>76</v>
      </c>
      <c r="AT22" s="136" t="s">
        <v>76</v>
      </c>
      <c r="AU22" s="136" t="s">
        <v>76</v>
      </c>
      <c r="AV22" s="136" t="s">
        <v>76</v>
      </c>
      <c r="AW22" s="136" t="s">
        <v>76</v>
      </c>
      <c r="AX22" s="136" t="s">
        <v>76</v>
      </c>
      <c r="AY22" s="136" t="s">
        <v>76</v>
      </c>
      <c r="AZ22" s="136" t="s">
        <v>76</v>
      </c>
      <c r="BA22" s="136" t="s">
        <v>76</v>
      </c>
      <c r="BB22" s="136" t="s">
        <v>76</v>
      </c>
      <c r="BC22" s="136" t="s">
        <v>76</v>
      </c>
      <c r="BD22" s="136" t="s">
        <v>76</v>
      </c>
      <c r="BE22" s="139"/>
      <c r="BF22" s="139"/>
      <c r="BG22" s="139"/>
      <c r="BH22" s="139"/>
    </row>
    <row r="23" spans="1:60" ht="18.75" customHeight="1" x14ac:dyDescent="0.3">
      <c r="C23" s="107" t="s">
        <v>65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9" t="s">
        <v>66</v>
      </c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10"/>
      <c r="AS23" s="111" t="s">
        <v>67</v>
      </c>
      <c r="AT23" s="101"/>
      <c r="AU23" s="101"/>
      <c r="AV23" s="101"/>
      <c r="AW23" s="101" t="s">
        <v>68</v>
      </c>
      <c r="AX23" s="101"/>
      <c r="AY23" s="101"/>
      <c r="AZ23" s="101"/>
      <c r="BA23" s="101" t="s">
        <v>69</v>
      </c>
      <c r="BB23" s="101"/>
      <c r="BC23" s="101"/>
      <c r="BD23" s="101"/>
    </row>
    <row r="24" spans="1:60" ht="11.25" customHeight="1" x14ac:dyDescent="0.3">
      <c r="C24" s="3"/>
      <c r="AR24" s="10"/>
      <c r="AS24" s="112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</row>
    <row r="25" spans="1:60" ht="21.75" customHeight="1" x14ac:dyDescent="0.3">
      <c r="C25" s="114" t="s">
        <v>70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8"/>
      <c r="AK25" s="8"/>
      <c r="AL25" s="8"/>
      <c r="AM25" s="9"/>
      <c r="AN25" s="9"/>
      <c r="AO25" s="9"/>
      <c r="AP25" s="9"/>
      <c r="AQ25" s="9"/>
      <c r="AR25" s="11"/>
      <c r="AS25" s="112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</row>
    <row r="26" spans="1:60" ht="19.5" customHeight="1" x14ac:dyDescent="0.3"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60" ht="19.5" customHeight="1" x14ac:dyDescent="0.3"/>
    <row r="28" spans="1:60" ht="19.5" customHeight="1" x14ac:dyDescent="0.3"/>
  </sheetData>
  <mergeCells count="46">
    <mergeCell ref="AS24:AV25"/>
    <mergeCell ref="AW24:AZ25"/>
    <mergeCell ref="BA24:BD25"/>
    <mergeCell ref="C25:AI25"/>
    <mergeCell ref="C5:C7"/>
    <mergeCell ref="D6:D7"/>
    <mergeCell ref="E6:E7"/>
    <mergeCell ref="F6:F7"/>
    <mergeCell ref="G6:G7"/>
    <mergeCell ref="H6:H7"/>
    <mergeCell ref="I6:I7"/>
    <mergeCell ref="J6:J7"/>
    <mergeCell ref="K5:K7"/>
    <mergeCell ref="L5:L7"/>
    <mergeCell ref="BA6:BB6"/>
    <mergeCell ref="BC6:BD6"/>
    <mergeCell ref="C23:U23"/>
    <mergeCell ref="V23:AR23"/>
    <mergeCell ref="AS23:AV23"/>
    <mergeCell ref="AW23:AZ23"/>
    <mergeCell ref="BA23:BD23"/>
    <mergeCell ref="AQ6:AR6"/>
    <mergeCell ref="AS6:AT6"/>
    <mergeCell ref="AU6:AV6"/>
    <mergeCell ref="AW6:AX6"/>
    <mergeCell ref="AY6:AZ6"/>
    <mergeCell ref="AG6:AH6"/>
    <mergeCell ref="AI6:AJ6"/>
    <mergeCell ref="AK6:AL6"/>
    <mergeCell ref="AM6:AN6"/>
    <mergeCell ref="AO6:AP6"/>
    <mergeCell ref="W6:X6"/>
    <mergeCell ref="Y6:Z6"/>
    <mergeCell ref="AA6:AB6"/>
    <mergeCell ref="AC6:AD6"/>
    <mergeCell ref="AE6:AF6"/>
    <mergeCell ref="M6:N6"/>
    <mergeCell ref="O6:P6"/>
    <mergeCell ref="Q6:R6"/>
    <mergeCell ref="S6:T6"/>
    <mergeCell ref="U6:V6"/>
    <mergeCell ref="C1:BD1"/>
    <mergeCell ref="C4:BD4"/>
    <mergeCell ref="D5:G5"/>
    <mergeCell ref="H5:J5"/>
    <mergeCell ref="M5:BD5"/>
  </mergeCells>
  <phoneticPr fontId="18" type="noConversion"/>
  <dataValidations count="2">
    <dataValidation type="list" allowBlank="1" showInputMessage="1" showErrorMessage="1" sqref="B2" xr:uid="{F5AC2E23-0CA0-4004-B738-84813AC456E2}">
      <formula1>"S-1,S-2,S-3,I,II,III"</formula1>
    </dataValidation>
    <dataValidation type="list" allowBlank="1" showInputMessage="1" showErrorMessage="1" sqref="B3" xr:uid="{221B98EF-F2F7-45B4-90E8-B893510E3FCD}">
      <formula1>"0.5,0.01,0.015,0.025,0.04,0.07,0.1,0.15,0.25,0.4,0.65,1.0,1.5,2.5,6.5,10,15,25,40,65,100"</formula1>
    </dataValidation>
  </dataValidations>
  <printOptions horizontalCentered="1" verticalCentered="1"/>
  <pageMargins left="0.16" right="0.21" top="0.21" bottom="0.28999999999999998" header="0.21" footer="0.28999999999999998"/>
  <pageSetup paperSize="9" orientation="landscape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M10" sqref="M10"/>
    </sheetView>
  </sheetViews>
  <sheetFormatPr defaultColWidth="9" defaultRowHeight="15" x14ac:dyDescent="0.25"/>
  <sheetData/>
  <phoneticPr fontId="18" type="noConversion"/>
  <pageMargins left="0.75" right="0.75" top="1" bottom="1" header="0.5" footer="0.5"/>
  <pageSetup paperSize="9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抽样计划标准</vt:lpstr>
      <vt:lpstr>Sheet3</vt:lpstr>
    </vt:vector>
  </TitlesOfParts>
  <Company>三和电子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smwo</dc:creator>
  <cp:lastModifiedBy>zhou lei</cp:lastModifiedBy>
  <cp:lastPrinted>2011-03-08T12:59:00Z</cp:lastPrinted>
  <dcterms:created xsi:type="dcterms:W3CDTF">2001-07-30T02:39:00Z</dcterms:created>
  <dcterms:modified xsi:type="dcterms:W3CDTF">2025-11-23T00:30:51Z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2052-11.8.2.12085</vt:lpwstr>
  </property>
  <property fmtid="{D5CDD505-2E9C-101B-9397-08002B2CF9AE}" pid="3" name="ICV">
    <vt:lpwstr>DC6BF09EA27A4120A532EB9F56BA38FA</vt:lpwstr>
  </property>
</Properties>
</file>